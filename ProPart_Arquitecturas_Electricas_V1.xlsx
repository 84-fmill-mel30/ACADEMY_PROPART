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taformas de Datos" sheetId="1" state="visible" r:id="rId1"/>
    <sheet xmlns:r="http://schemas.openxmlformats.org/officeDocument/2006/relationships" name="Terminales DIN 72552" sheetId="2" state="visible" r:id="rId2"/>
    <sheet xmlns:r="http://schemas.openxmlformats.org/officeDocument/2006/relationships" name="Código de Colores" sheetId="3" state="visible" r:id="rId3"/>
    <sheet xmlns:r="http://schemas.openxmlformats.org/officeDocument/2006/relationships" name="Alta Tensión EV-HEV" sheetId="4" state="visible" r:id="rId4"/>
    <sheet xmlns:r="http://schemas.openxmlformats.org/officeDocument/2006/relationships" name="Redes de Datos CAN-ETH" sheetId="5" state="visible" r:id="rId5"/>
    <sheet xmlns:r="http://schemas.openxmlformats.org/officeDocument/2006/relationships" name="Pinouts y Señales" sheetId="6" state="visible" r:id="rId6"/>
    <sheet xmlns:r="http://schemas.openxmlformats.org/officeDocument/2006/relationships" name="Masas y Diagnóstico" sheetId="7" state="visible" r:id="rId7"/>
    <sheet xmlns:r="http://schemas.openxmlformats.org/officeDocument/2006/relationships" name="ECU - Familias y Módulos" sheetId="8" state="visible" r:id="rId8"/>
    <sheet xmlns:r="http://schemas.openxmlformats.org/officeDocument/2006/relationships" name="Numeración Ford-GM" sheetId="9" state="visible" r:id="rId9"/>
    <sheet xmlns:r="http://schemas.openxmlformats.org/officeDocument/2006/relationships" name="Conectores y Terminales" sheetId="10" state="visible" r:id="rId10"/>
    <sheet xmlns:r="http://schemas.openxmlformats.org/officeDocument/2006/relationships" name="Colores por Función Global" sheetId="11" state="visible" r:id="rId11"/>
    <sheet xmlns:r="http://schemas.openxmlformats.org/officeDocument/2006/relationships" name="Sensores - Señales Detalladas" sheetId="12" state="visible" r:id="rId12"/>
    <sheet xmlns:r="http://schemas.openxmlformats.org/officeDocument/2006/relationships" name="Fusibles y Relevadores" sheetId="13" state="visible" r:id="rId13"/>
    <sheet xmlns:r="http://schemas.openxmlformats.org/officeDocument/2006/relationships" name="DTC - Diagnóstico Avanzado" sheetId="14" state="visible" r:id="rId14"/>
    <sheet xmlns:r="http://schemas.openxmlformats.org/officeDocument/2006/relationships" name="Programacion J2534 e IMMO" sheetId="15" state="visible" r:id="rId15"/>
    <sheet xmlns:r="http://schemas.openxmlformats.org/officeDocument/2006/relationships" name="Reparacion ECU - Avanzado" sheetId="16" state="visible" r:id="rId16"/>
    <sheet xmlns:r="http://schemas.openxmlformats.org/officeDocument/2006/relationships" name="Familias ECU" sheetId="17" state="visible" r:id="rId17"/>
    <sheet xmlns:r="http://schemas.openxmlformats.org/officeDocument/2006/relationships" name="Conectores Automotrices" sheetId="18" state="visible" r:id="rId18"/>
    <sheet xmlns:r="http://schemas.openxmlformats.org/officeDocument/2006/relationships" name="Colores por Fabricante" sheetId="19" state="visible" r:id="rId19"/>
    <sheet xmlns:r="http://schemas.openxmlformats.org/officeDocument/2006/relationships" name="Sensores-Fusibles-Relés" sheetId="20" state="visible" r:id="rId20"/>
    <sheet xmlns:r="http://schemas.openxmlformats.org/officeDocument/2006/relationships" name="DTCs y Diagnóstico Avanzado" sheetId="21" state="visible" r:id="rId21"/>
    <sheet xmlns:r="http://schemas.openxmlformats.org/officeDocument/2006/relationships" name="Motores Carburados Clásicos" sheetId="22" state="visible" r:id="rId22"/>
    <sheet xmlns:r="http://schemas.openxmlformats.org/officeDocument/2006/relationships" name="Pinouts ECU Específicos" sheetId="23" state="visible" r:id="rId23"/>
    <sheet xmlns:r="http://schemas.openxmlformats.org/officeDocument/2006/relationships" name="Diesel Pesado Cummins-Detroit" sheetId="24" state="visible" r:id="rId24"/>
    <sheet xmlns:r="http://schemas.openxmlformats.org/officeDocument/2006/relationships" name="Bases de Datos y Recursos" sheetId="25" state="visible" r:id="rId25"/>
    <sheet xmlns:r="http://schemas.openxmlformats.org/officeDocument/2006/relationships" name="Torques de Apriete" sheetId="26" state="visible" r:id="rId26"/>
    <sheet xmlns:r="http://schemas.openxmlformats.org/officeDocument/2006/relationships" name="Transponders y Llaves" sheetId="27" state="visible" r:id="rId27"/>
    <sheet xmlns:r="http://schemas.openxmlformats.org/officeDocument/2006/relationships" name="Valores de Sensores" sheetId="28" state="visible" r:id="rId28"/>
    <sheet xmlns:r="http://schemas.openxmlformats.org/officeDocument/2006/relationships" name="EEPROM e Herramientas IMMO" sheetId="29" state="visible" r:id="rId29"/>
    <sheet xmlns:r="http://schemas.openxmlformats.org/officeDocument/2006/relationships" name="Diagnóstico Sensores ECU" sheetId="30" state="visible" r:id="rId30"/>
    <sheet xmlns:r="http://schemas.openxmlformats.org/officeDocument/2006/relationships" name="DTCs Rendimiento y Metodología" sheetId="31" state="visible" r:id="rId31"/>
    <sheet xmlns:r="http://schemas.openxmlformats.org/officeDocument/2006/relationships" name="Pinouts Funcionales y Colores" sheetId="32" state="visible" r:id="rId32"/>
    <sheet xmlns:r="http://schemas.openxmlformats.org/officeDocument/2006/relationships" name="Data Engine PULSAR — Firestore" sheetId="33" state="visible" r:id="rId33"/>
    <sheet xmlns:r="http://schemas.openxmlformats.org/officeDocument/2006/relationships" name="Catálogo Multimarca 1986-2025" sheetId="34" state="visible" r:id="rId34"/>
    <sheet xmlns:r="http://schemas.openxmlformats.org/officeDocument/2006/relationships" name="API Dongle PULSAR" sheetId="35" state="visible" r:id="rId35"/>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5A623"/>
      <sz val="11"/>
    </font>
    <font>
      <name val="Arial"/>
      <b val="1"/>
      <color rgb="00FFFFFF"/>
      <sz val="10"/>
    </font>
    <font>
      <name val="Arial"/>
      <color rgb="00E0E0E0"/>
      <sz val="9"/>
    </font>
    <font>
      <name val="Arial"/>
      <b val="1"/>
      <color rgb="00F5A623"/>
      <sz val="9"/>
    </font>
    <font>
      <name val="Arial"/>
      <b val="1"/>
      <color rgb="0000C48C"/>
      <sz val="9"/>
    </font>
    <font>
      <name val="Arial"/>
      <b val="1"/>
      <color rgb="0000C48C"/>
      <sz val="11"/>
    </font>
    <font>
      <name val="Arial"/>
      <b val="1"/>
      <color rgb="00F5A623"/>
      <sz val="10"/>
    </font>
    <font>
      <name val="Arial"/>
      <b val="1"/>
      <color rgb="0000C48C"/>
      <sz val="10"/>
    </font>
    <font>
      <name val="Arial"/>
      <b val="1"/>
      <color rgb="00E74C3C"/>
      <sz val="9"/>
    </font>
    <font>
      <name val="Arial"/>
      <b val="1"/>
      <color rgb="001A7FD4"/>
      <sz val="9"/>
    </font>
    <font>
      <name val="Arial"/>
      <color rgb="001A7FD4"/>
      <sz val="9"/>
    </font>
    <font>
      <name val="Arial"/>
      <color rgb="00E0E0E0"/>
      <sz val="8"/>
    </font>
    <font>
      <name val="Arial"/>
      <b val="1"/>
      <color rgb="00E67E22"/>
      <sz val="9"/>
    </font>
    <font>
      <name val="Arial"/>
      <color rgb="001A7FD4"/>
      <sz val="8"/>
    </font>
    <font>
      <name val="Arial"/>
      <b val="1"/>
      <color rgb="0000C48C"/>
      <sz val="8"/>
    </font>
    <font>
      <name val="Arial"/>
      <b val="1"/>
      <color rgb="00FFFFFF"/>
      <sz val="9"/>
    </font>
    <font>
      <name val="Arial"/>
      <b val="1"/>
      <color rgb="009B59F7"/>
      <sz val="9"/>
    </font>
    <font>
      <name val="Arial"/>
      <b val="1"/>
      <color rgb="00C41E3A"/>
      <sz val="9"/>
    </font>
    <font>
      <name val="Arial"/>
      <b val="1"/>
      <color rgb="00003087"/>
      <sz val="9"/>
    </font>
    <font>
      <name val="Arial"/>
      <b val="1"/>
      <color rgb="00CC0000"/>
      <sz val="9"/>
    </font>
    <font>
      <name val="Arial"/>
      <b val="1"/>
      <color rgb="001F3A93"/>
      <sz val="9"/>
    </font>
    <font>
      <name val="Arial"/>
      <i val="1"/>
      <color rgb="00888888"/>
      <sz val="9"/>
    </font>
    <font>
      <name val="Arial"/>
      <i val="1"/>
      <color rgb="001A7FD4"/>
      <sz val="8"/>
    </font>
    <font>
      <name val="Arial"/>
      <color rgb="0000C48C"/>
      <sz val="9"/>
    </font>
  </fonts>
  <fills count="6">
    <fill>
      <patternFill/>
    </fill>
    <fill>
      <patternFill patternType="gray125"/>
    </fill>
    <fill>
      <patternFill patternType="solid">
        <fgColor rgb="0016213E"/>
      </patternFill>
    </fill>
    <fill>
      <patternFill patternType="solid">
        <fgColor rgb="001A1A2E"/>
      </patternFill>
    </fill>
    <fill>
      <patternFill patternType="solid">
        <fgColor rgb="000F3460"/>
      </patternFill>
    </fill>
    <fill>
      <patternFill patternType="solid">
        <fgColor rgb="00162447"/>
      </patternFill>
    </fill>
  </fills>
  <borders count="2">
    <border>
      <left/>
      <right/>
      <top/>
      <bottom/>
      <diagonal/>
    </border>
    <border>
      <left style="thin">
        <color rgb="002D4A7A"/>
      </left>
      <right style="thin">
        <color rgb="002D4A7A"/>
      </right>
      <top style="thin">
        <color rgb="002D4A7A"/>
      </top>
      <bottom style="thin">
        <color rgb="002D4A7A"/>
      </bottom>
    </border>
  </borders>
  <cellStyleXfs count="1">
    <xf numFmtId="0" fontId="0" fillId="0" borderId="0"/>
  </cellStyleXfs>
  <cellXfs count="6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center" wrapText="1"/>
    </xf>
    <xf numFmtId="0" fontId="3" fillId="5"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center" vertical="center"/>
    </xf>
    <xf numFmtId="0" fontId="5" fillId="4" borderId="1" applyAlignment="1" pivotButton="0" quotePrefix="0" xfId="0">
      <alignment horizontal="center" vertical="center"/>
    </xf>
    <xf numFmtId="0" fontId="5" fillId="5" borderId="1" applyAlignment="1" pivotButton="0" quotePrefix="0" xfId="0">
      <alignment horizontal="center" vertical="center"/>
    </xf>
    <xf numFmtId="0" fontId="4" fillId="4" borderId="1" applyAlignment="1" pivotButton="0" quotePrefix="0" xfId="0">
      <alignment horizontal="left" vertical="center" wrapText="1"/>
    </xf>
    <xf numFmtId="0" fontId="4" fillId="5" borderId="1" applyAlignment="1" pivotButton="0" quotePrefix="0" xfId="0">
      <alignment horizontal="left" vertical="center" wrapText="1"/>
    </xf>
    <xf numFmtId="0" fontId="0" fillId="0" borderId="1" pivotButton="0" quotePrefix="0" xfId="0"/>
    <xf numFmtId="0" fontId="5" fillId="4" borderId="1" applyAlignment="1" pivotButton="0" quotePrefix="0" xfId="0">
      <alignment horizontal="left" vertical="center" wrapText="1"/>
    </xf>
    <xf numFmtId="0" fontId="5" fillId="5"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4" borderId="1" applyAlignment="1" pivotButton="0" quotePrefix="0" xfId="0">
      <alignment horizontal="center" vertical="center"/>
    </xf>
    <xf numFmtId="0" fontId="6" fillId="5" borderId="1" applyAlignment="1" pivotButton="0" quotePrefix="0" xfId="0">
      <alignment horizontal="center" vertical="center"/>
    </xf>
    <xf numFmtId="0" fontId="7" fillId="4" borderId="1" applyAlignment="1" pivotButton="0" quotePrefix="0" xfId="0">
      <alignment horizontal="center" vertical="center"/>
    </xf>
    <xf numFmtId="0" fontId="7" fillId="5" borderId="1" applyAlignment="1" pivotButton="0" quotePrefix="0" xfId="0">
      <alignment horizontal="center" vertical="center"/>
    </xf>
    <xf numFmtId="0" fontId="8" fillId="4" borderId="1" applyAlignment="1" pivotButton="0" quotePrefix="0" xfId="0">
      <alignment horizontal="center" vertical="center"/>
    </xf>
    <xf numFmtId="0" fontId="8" fillId="5" borderId="1" applyAlignment="1" pivotButton="0" quotePrefix="0" xfId="0">
      <alignment horizontal="center" vertical="center"/>
    </xf>
    <xf numFmtId="0" fontId="8"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9"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4" borderId="1" applyAlignment="1" pivotButton="0" quotePrefix="0" xfId="0">
      <alignment horizontal="center" vertical="center" wrapText="1"/>
    </xf>
    <xf numFmtId="0" fontId="10" fillId="5" borderId="1" applyAlignment="1" pivotButton="0" quotePrefix="0" xfId="0">
      <alignment horizontal="center" vertical="center" wrapText="1"/>
    </xf>
    <xf numFmtId="0" fontId="9" fillId="4" borderId="1" applyAlignment="1" pivotButton="0" quotePrefix="0" xfId="0">
      <alignment horizontal="left" vertical="center" wrapText="1"/>
    </xf>
    <xf numFmtId="0" fontId="9" fillId="5" borderId="1" applyAlignment="1" pivotButton="0" quotePrefix="0" xfId="0">
      <alignment horizontal="left" vertical="center" wrapText="1"/>
    </xf>
    <xf numFmtId="0" fontId="11" fillId="4" borderId="1" applyAlignment="1" pivotButton="0" quotePrefix="0" xfId="0">
      <alignment horizontal="center" vertical="center" wrapText="1"/>
    </xf>
    <xf numFmtId="0" fontId="11" fillId="5" borderId="1" applyAlignment="1" pivotButton="0" quotePrefix="0" xfId="0">
      <alignment horizontal="center" vertical="center" wrapText="1"/>
    </xf>
    <xf numFmtId="0" fontId="12" fillId="4" borderId="1" applyAlignment="1" pivotButton="0" quotePrefix="0" xfId="0">
      <alignment horizontal="left" vertical="center" wrapText="1"/>
    </xf>
    <xf numFmtId="0" fontId="12" fillId="5" borderId="1" applyAlignment="1" pivotButton="0" quotePrefix="0" xfId="0">
      <alignment horizontal="left" vertical="center" wrapText="1"/>
    </xf>
    <xf numFmtId="0" fontId="11" fillId="4" borderId="1" applyAlignment="1" pivotButton="0" quotePrefix="0" xfId="0">
      <alignment horizontal="left" vertical="center" wrapText="1"/>
    </xf>
    <xf numFmtId="0" fontId="11" fillId="5" borderId="1" applyAlignment="1" pivotButton="0" quotePrefix="0" xfId="0">
      <alignment horizontal="left" vertical="center" wrapText="1"/>
    </xf>
    <xf numFmtId="0" fontId="13" fillId="4" borderId="1" applyAlignment="1" pivotButton="0" quotePrefix="0" xfId="0">
      <alignment horizontal="left" vertical="center" wrapText="1"/>
    </xf>
    <xf numFmtId="0" fontId="13" fillId="5" borderId="1" applyAlignment="1" pivotButton="0" quotePrefix="0" xfId="0">
      <alignment horizontal="left" vertical="center" wrapText="1"/>
    </xf>
    <xf numFmtId="0" fontId="14"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4" borderId="1" applyAlignment="1" pivotButton="0" quotePrefix="0" xfId="0">
      <alignment horizontal="left" vertical="center" wrapText="1"/>
    </xf>
    <xf numFmtId="0" fontId="15" fillId="5" borderId="1" applyAlignment="1" pivotButton="0" quotePrefix="0" xfId="0">
      <alignment horizontal="left" vertical="center" wrapText="1"/>
    </xf>
    <xf numFmtId="0" fontId="16" fillId="3" borderId="1" applyAlignment="1" pivotButton="0" quotePrefix="0" xfId="0">
      <alignment horizontal="center" vertical="center" wrapText="1"/>
    </xf>
    <xf numFmtId="0" fontId="10" fillId="4" borderId="1" applyAlignment="1" pivotButton="0" quotePrefix="0" xfId="0">
      <alignment horizontal="left" vertical="center" wrapText="1"/>
    </xf>
    <xf numFmtId="0" fontId="10" fillId="4" borderId="1" applyAlignment="1" pivotButton="0" quotePrefix="0" xfId="0">
      <alignment horizontal="center" vertical="center"/>
    </xf>
    <xf numFmtId="0" fontId="17" fillId="4" borderId="1" applyAlignment="1" pivotButton="0" quotePrefix="0" xfId="0">
      <alignment horizontal="center"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xf>
    <xf numFmtId="0" fontId="17" fillId="5" borderId="1" applyAlignment="1" pivotButton="0" quotePrefix="0" xfId="0">
      <alignment horizontal="center" vertical="center" wrapText="1"/>
    </xf>
    <xf numFmtId="0" fontId="18" fillId="4" borderId="1" applyAlignment="1" pivotButton="0" quotePrefix="0" xfId="0">
      <alignment horizontal="left" vertical="center" wrapText="1"/>
    </xf>
    <xf numFmtId="0" fontId="18" fillId="5" borderId="1" applyAlignment="1" pivotButton="0" quotePrefix="0" xfId="0">
      <alignment horizontal="left" vertical="center" wrapText="1"/>
    </xf>
    <xf numFmtId="0" fontId="19" fillId="5" borderId="1" applyAlignment="1" pivotButton="0" quotePrefix="0" xfId="0">
      <alignment horizontal="left" vertical="center" wrapText="1"/>
    </xf>
    <xf numFmtId="0" fontId="19" fillId="4" borderId="1" applyAlignment="1" pivotButton="0" quotePrefix="0" xfId="0">
      <alignment horizontal="left" vertical="center" wrapText="1"/>
    </xf>
    <xf numFmtId="0" fontId="20" fillId="5" borderId="1" applyAlignment="1" pivotButton="0" quotePrefix="0" xfId="0">
      <alignment horizontal="left" vertical="center" wrapText="1"/>
    </xf>
    <xf numFmtId="0" fontId="20" fillId="4" borderId="1" applyAlignment="1" pivotButton="0" quotePrefix="0" xfId="0">
      <alignment horizontal="left" vertical="center" wrapText="1"/>
    </xf>
    <xf numFmtId="0" fontId="21" fillId="4" borderId="1" applyAlignment="1" pivotButton="0" quotePrefix="0" xfId="0">
      <alignment horizontal="left" vertical="center" wrapText="1"/>
    </xf>
    <xf numFmtId="0" fontId="21" fillId="5" borderId="1" applyAlignment="1" pivotButton="0" quotePrefix="0" xfId="0">
      <alignment horizontal="left" vertical="center" wrapText="1"/>
    </xf>
    <xf numFmtId="0" fontId="22" fillId="4" borderId="1" applyAlignment="1" pivotButton="0" quotePrefix="0" xfId="0">
      <alignment horizontal="left" vertical="center" wrapText="1"/>
    </xf>
    <xf numFmtId="0" fontId="23" fillId="4" borderId="1" applyAlignment="1" pivotButton="0" quotePrefix="0" xfId="0">
      <alignment horizontal="left" vertical="center" wrapText="1"/>
    </xf>
    <xf numFmtId="0" fontId="17" fillId="5" borderId="1" applyAlignment="1" pivotButton="0" quotePrefix="0" xfId="0">
      <alignment horizontal="left" vertical="center" wrapText="1"/>
    </xf>
    <xf numFmtId="0" fontId="24" fillId="5" borderId="1" applyAlignment="1" pivotButton="0" quotePrefix="0" xfId="0">
      <alignment horizontal="left" vertical="center" wrapText="1"/>
    </xf>
    <xf numFmtId="0" fontId="23" fillId="5" borderId="1" applyAlignment="1" pivotButton="0" quotePrefix="0" xfId="0">
      <alignment horizontal="left" vertical="center" wrapText="1"/>
    </xf>
    <xf numFmtId="0" fontId="17" fillId="4" borderId="1" applyAlignment="1" pivotButton="0" quotePrefix="0" xfId="0">
      <alignment horizontal="left" vertical="center" wrapText="1"/>
    </xf>
    <xf numFmtId="0" fontId="24" fillId="4" borderId="1" applyAlignment="1" pivotButton="0" quotePrefix="0" xfId="0">
      <alignment horizontal="left" vertical="center" wrapText="1"/>
    </xf>
    <xf numFmtId="0" fontId="22" fillId="5"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22" customWidth="1" min="3" max="3"/>
    <col width="45" customWidth="1" min="4" max="4"/>
    <col width="22" customWidth="1" min="5" max="5"/>
  </cols>
  <sheetData>
    <row r="1" ht="24" customHeight="1">
      <c r="A1" s="1" t="inlineStr">
        <is>
          <t>PLATAFORMAS DE INFORMACIÓN TÉCNICA AUTOMOTRIZ</t>
        </is>
      </c>
    </row>
    <row r="2" ht="30" customHeight="1">
      <c r="A2" s="2" t="inlineStr">
        <is>
          <t>Plataforma</t>
        </is>
      </c>
      <c r="B2" s="2" t="inlineStr">
        <is>
          <t>Origen de Datos</t>
        </is>
      </c>
      <c r="C2" s="2" t="inlineStr">
        <is>
          <t>Formato de Diagramas</t>
        </is>
      </c>
      <c r="D2" s="2" t="inlineStr">
        <is>
          <t>Especialidad Técnica</t>
        </is>
      </c>
      <c r="E2" s="2" t="inlineStr">
        <is>
          <t>Cobertura</t>
        </is>
      </c>
    </row>
    <row r="3" ht="38" customHeight="1">
      <c r="A3" s="3" t="inlineStr">
        <is>
          <t>erWin (VAG)</t>
        </is>
      </c>
      <c r="B3" s="3" t="inlineStr">
        <is>
          <t>OEM Directo</t>
        </is>
      </c>
      <c r="C3" s="3" t="inlineStr">
        <is>
          <t>DIN Standard (Vertical)</t>
        </is>
      </c>
      <c r="D3" s="3" t="inlineStr">
        <is>
          <t>Localización exacta por VIN; trazado de corriente vertical; VW, Audi, SEAT, Skoda</t>
        </is>
      </c>
      <c r="E3" s="3" t="inlineStr">
        <is>
          <t>VW Group completo</t>
        </is>
      </c>
    </row>
    <row r="4" ht="38" customHeight="1">
      <c r="A4" s="4" t="inlineStr">
        <is>
          <t>AOS (BMW)</t>
        </is>
      </c>
      <c r="B4" s="4" t="inlineStr">
        <is>
          <t>OEM Directo</t>
        </is>
      </c>
      <c r="C4" s="4" t="inlineStr">
        <is>
          <t>WDS (Web-based)</t>
        </is>
      </c>
      <c r="D4" s="4" t="inlineStr">
        <is>
          <t>Hipervínculos entre esquemas; asignación de pines dinámica por VIN</t>
        </is>
      </c>
      <c r="E4" s="4" t="inlineStr">
        <is>
          <t>BMW / MINI / Rolls</t>
        </is>
      </c>
    </row>
    <row r="5" ht="38" customHeight="1">
      <c r="A5" s="3" t="inlineStr">
        <is>
          <t>Mitchell 1 / ProDemand</t>
        </is>
      </c>
      <c r="B5" s="3" t="inlineStr">
        <is>
          <t>Redibujado</t>
        </is>
      </c>
      <c r="C5" s="3" t="inlineStr">
        <is>
          <t>SVG Interactivo (Color)</t>
        </is>
      </c>
      <c r="D5" s="3" t="inlineStr">
        <is>
          <t>Zoom infinito sin pérdida; resaltado de circuitos; nomenclatura estandarizada entre marcas</t>
        </is>
      </c>
      <c r="E5" s="3" t="inlineStr">
        <is>
          <t>Multi-marca aftermarket</t>
        </is>
      </c>
    </row>
    <row r="6" ht="38" customHeight="1">
      <c r="A6" s="4" t="inlineStr">
        <is>
          <t>ALLDATA</t>
        </is>
      </c>
      <c r="B6" s="4" t="inlineStr">
        <is>
          <t>OEM + Redibujado</t>
        </is>
      </c>
      <c r="C6" s="4" t="inlineStr">
        <is>
          <t>Híbrido</t>
        </is>
      </c>
      <c r="D6" s="4" t="inlineStr">
        <is>
          <t>Extensa base de TSBs vinculados al diagrama; búsqueda por componente</t>
        </is>
      </c>
      <c r="E6" s="4" t="inlineStr">
        <is>
          <t>Multi-marca + camiones</t>
        </is>
      </c>
    </row>
    <row r="7" ht="38" customHeight="1">
      <c r="A7" s="3" t="inlineStr">
        <is>
          <t>Identifix</t>
        </is>
      </c>
      <c r="B7" s="3" t="inlineStr">
        <is>
          <t>Mixto</t>
        </is>
      </c>
      <c r="C7" s="3" t="inlineStr">
        <is>
          <t>Bosch / OEM Color</t>
        </is>
      </c>
      <c r="D7" s="3" t="inlineStr">
        <is>
          <t>Diagnóstico basado en fallos reales confirmados; comunidad de técnicos</t>
        </is>
      </c>
      <c r="E7" s="3" t="inlineStr">
        <is>
          <t>Aftermarket especializado</t>
        </is>
      </c>
    </row>
  </sheetData>
  <mergeCells count="1">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12" customWidth="1" min="1" max="1"/>
    <col width="24" customWidth="1" min="2" max="2"/>
    <col width="40" customWidth="1" min="3" max="3"/>
    <col width="45" customWidth="1" min="4" max="4"/>
  </cols>
  <sheetData>
    <row r="1" ht="24" customHeight="1">
      <c r="A1" s="1" t="inlineStr">
        <is>
          <t>NORMA DIN 72552 — DESIGNACIÓN DE TERMINALES ELÉCTRICAS (VW / BMW / Grupo Alemán)</t>
        </is>
      </c>
    </row>
    <row r="2" ht="30" customHeight="1">
      <c r="A2" s="2" t="inlineStr">
        <is>
          <t>Terminal</t>
        </is>
      </c>
      <c r="B2" s="2" t="inlineStr">
        <is>
          <t>Función Técnica</t>
        </is>
      </c>
      <c r="C2" s="2" t="inlineStr">
        <is>
          <t>Aplicación en Vehículo</t>
        </is>
      </c>
      <c r="D2" s="2" t="inlineStr">
        <is>
          <t>Nota de Diagnóstico</t>
        </is>
      </c>
    </row>
    <row r="3" ht="36" customHeight="1">
      <c r="A3" s="5" t="inlineStr">
        <is>
          <t>KL15</t>
        </is>
      </c>
      <c r="B3" s="3" t="inlineStr">
        <is>
          <t>Ignición (IGN)</t>
        </is>
      </c>
      <c r="C3" s="3" t="inlineStr">
        <is>
          <t>Alimentación activa solo con interruptor en posición RUN</t>
        </is>
      </c>
      <c r="D3" s="3" t="inlineStr">
        <is>
          <t>Referencia para sensores y actuadores controlados por encendido</t>
        </is>
      </c>
    </row>
    <row r="4" ht="36" customHeight="1">
      <c r="A4" s="6" t="inlineStr">
        <is>
          <t>KL30</t>
        </is>
      </c>
      <c r="B4" s="4" t="inlineStr">
        <is>
          <t>Batería (+) constante</t>
        </is>
      </c>
      <c r="C4" s="4" t="inlineStr">
        <is>
          <t>Suministro directo desde borne positivo de batería — siempre vivo</t>
        </is>
      </c>
      <c r="D4" s="4" t="inlineStr">
        <is>
          <t>Peligroso en vehículos EV/HEV (puede ser HV indirecto)</t>
        </is>
      </c>
    </row>
    <row r="5" ht="36" customHeight="1">
      <c r="A5" s="5" t="inlineStr">
        <is>
          <t>KL31</t>
        </is>
      </c>
      <c r="B5" s="3" t="inlineStr">
        <is>
          <t>Masa (–)</t>
        </is>
      </c>
      <c r="C5" s="3" t="inlineStr">
        <is>
          <t>Conexión directa al polo negativo de batería o chasis del vehículo</t>
        </is>
      </c>
      <c r="D5" s="3" t="inlineStr">
        <is>
          <t>Caída de voltaje máx. 0.1V entre terminal y batería</t>
        </is>
      </c>
    </row>
    <row r="6" ht="36" customHeight="1">
      <c r="A6" s="6" t="inlineStr">
        <is>
          <t>KL50</t>
        </is>
      </c>
      <c r="B6" s="4" t="inlineStr">
        <is>
          <t>Arranque (START)</t>
        </is>
      </c>
      <c r="C6" s="4" t="inlineStr">
        <is>
          <t>Señal de control al solenoide del motor de arranque</t>
        </is>
      </c>
      <c r="D6" s="4" t="inlineStr">
        <is>
          <t>Solo activo durante cranking; pico de corriente alto</t>
        </is>
      </c>
    </row>
    <row r="7" ht="36" customHeight="1">
      <c r="A7" s="5" t="inlineStr">
        <is>
          <t>KL58</t>
        </is>
      </c>
      <c r="B7" s="3" t="inlineStr">
        <is>
          <t>Iluminación</t>
        </is>
      </c>
      <c r="C7" s="3" t="inlineStr">
        <is>
          <t>Luces de posición, matrícula, instrumentos e iluminación interior</t>
        </is>
      </c>
      <c r="D7" s="3" t="inlineStr">
        <is>
          <t>Modulado por BCM en modelos modernos (PWM dimmer)</t>
        </is>
      </c>
    </row>
    <row r="8" ht="36" customHeight="1">
      <c r="A8" s="6" t="inlineStr">
        <is>
          <t>KL87</t>
        </is>
      </c>
      <c r="B8" s="4" t="inlineStr">
        <is>
          <t>Salida de relé (NO)</t>
        </is>
      </c>
      <c r="C8" s="4" t="inlineStr">
        <is>
          <t>Terminal de potencia tras cierre de relé de conmutación — Normally Open</t>
        </is>
      </c>
      <c r="D8" s="4" t="inlineStr">
        <is>
          <t>Verificar continuidad relé-componente si KL30 OK pero componente inactivo</t>
        </is>
      </c>
    </row>
    <row r="9" ht="36" customHeight="1">
      <c r="A9" s="5" t="inlineStr">
        <is>
          <t>KL87a</t>
        </is>
      </c>
      <c r="B9" s="3" t="inlineStr">
        <is>
          <t>Salida de relé (NC)</t>
        </is>
      </c>
      <c r="C9" s="3" t="inlineStr">
        <is>
          <t>Terminal de potencia en estado normalmente cerrado del relé</t>
        </is>
      </c>
      <c r="D9" s="3" t="inlineStr">
        <is>
          <t>Aplicado en sistemas de seguridad con apertura por fallo</t>
        </is>
      </c>
    </row>
    <row r="10" ht="36" customHeight="1">
      <c r="A10" s="6" t="inlineStr">
        <is>
          <t>KL54</t>
        </is>
      </c>
      <c r="B10" s="4" t="inlineStr">
        <is>
          <t>Limpiaparabrisas</t>
        </is>
      </c>
      <c r="C10" s="4" t="inlineStr">
        <is>
          <t>Alimentación del motor de limpiaparabrisas</t>
        </is>
      </c>
      <c r="D10" s="4" t="inlineStr">
        <is>
          <t>Multiposición: 54 (intermitente) / 54b (alta velocidad)</t>
        </is>
      </c>
    </row>
    <row r="11" ht="36" customHeight="1">
      <c r="A11" s="5" t="inlineStr">
        <is>
          <t>KL75</t>
        </is>
      </c>
      <c r="B11" s="3" t="inlineStr">
        <is>
          <t>Radio / Accesorios</t>
        </is>
      </c>
      <c r="C11" s="3" t="inlineStr">
        <is>
          <t>Activo en posición ACC del interruptor de encendido</t>
        </is>
      </c>
      <c r="D11" s="3" t="inlineStr">
        <is>
          <t>Se corta antes que KL15 en secuencia de apagado</t>
        </is>
      </c>
    </row>
    <row r="12" ht="36" customHeight="1">
      <c r="A12" s="6" t="inlineStr">
        <is>
          <t>KL86</t>
        </is>
      </c>
      <c r="B12" s="4" t="inlineStr">
        <is>
          <t>Bobina de relé (+)</t>
        </is>
      </c>
      <c r="C12" s="4" t="inlineStr">
        <is>
          <t>Terminal de activación positivo de la bobina del relé</t>
        </is>
      </c>
      <c r="D12" s="4" t="inlineStr">
        <is>
          <t>Controlado por ECU/BCM para activar actuadores</t>
        </is>
      </c>
    </row>
    <row r="13" ht="36" customHeight="1">
      <c r="A13" s="5" t="inlineStr">
        <is>
          <t>KL85</t>
        </is>
      </c>
      <c r="B13" s="3" t="inlineStr">
        <is>
          <t>Bobina de relé (–)</t>
        </is>
      </c>
      <c r="C13" s="3" t="inlineStr">
        <is>
          <t>Terminal de masa de la bobina del relé — conmutado por lado masa</t>
        </is>
      </c>
      <c r="D13" s="3" t="inlineStr">
        <is>
          <t>Verificar transistor ECU si bobina no activa</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14" customWidth="1" min="1" max="1"/>
    <col width="22" customWidth="1" min="2" max="2"/>
    <col width="24" customWidth="1" min="3" max="3"/>
    <col width="28" customWidth="1" min="4" max="4"/>
    <col width="48" customWidth="1" min="5" max="5"/>
    <col width="22" customWidth="1" min="6" max="6"/>
  </cols>
  <sheetData>
    <row r="1" ht="24" customHeight="1">
      <c r="A1" s="1" t="inlineStr">
        <is>
          <t>CÓDIGOS DE COLOR DE CABLES — VW / BMW / FORD / NISSAN</t>
        </is>
      </c>
    </row>
    <row r="2" ht="30" customHeight="1">
      <c r="A2" s="2" t="inlineStr">
        <is>
          <t>Código</t>
        </is>
      </c>
      <c r="B2" s="2" t="inlineStr">
        <is>
          <t>Color</t>
        </is>
      </c>
      <c r="C2" s="2" t="inlineStr">
        <is>
          <t>Sistema / Marca</t>
        </is>
      </c>
      <c r="D2" s="2" t="inlineStr">
        <is>
          <t>Función Típica</t>
        </is>
      </c>
      <c r="E2" s="2" t="inlineStr">
        <is>
          <t>Nota</t>
        </is>
      </c>
      <c r="F2" s="2" t="inlineStr">
        <is>
          <t>Ejemplo VIN</t>
        </is>
      </c>
    </row>
    <row r="3" ht="40" customHeight="1">
      <c r="A3" s="5" t="inlineStr">
        <is>
          <t>BR</t>
        </is>
      </c>
      <c r="B3" s="3" t="inlineStr">
        <is>
          <t>Marrón (Brown)</t>
        </is>
      </c>
      <c r="C3" s="3" t="inlineStr">
        <is>
          <t>VW / SEAT / Skoda / Audi (DIN)</t>
        </is>
      </c>
      <c r="D3" s="3" t="inlineStr">
        <is>
          <t>Masa (GND)</t>
        </is>
      </c>
      <c r="E3" s="3" t="inlineStr">
        <is>
          <t>Color de masa universal en VW; no confundir con BR de Ford (marrón = positivo auxiliar)</t>
        </is>
      </c>
      <c r="F3" s="3" t="inlineStr">
        <is>
          <t>Golf A4, Passat B6</t>
        </is>
      </c>
    </row>
    <row r="4" ht="40" customHeight="1">
      <c r="A4" s="6" t="inlineStr">
        <is>
          <t>RO</t>
        </is>
      </c>
      <c r="B4" s="4" t="inlineStr">
        <is>
          <t>Rojo (Red)</t>
        </is>
      </c>
      <c r="C4" s="4" t="inlineStr">
        <is>
          <t>VW / Grupo Alemán</t>
        </is>
      </c>
      <c r="D4" s="4" t="inlineStr">
        <is>
          <t>Alimentación principal (+)</t>
        </is>
      </c>
      <c r="E4" s="4" t="inlineStr">
        <is>
          <t>KL30 en esquemas VAG; sección 2.5-6 mm²</t>
        </is>
      </c>
      <c r="F4" s="4" t="inlineStr">
        <is>
          <t>Jetta MK6, Tiguan</t>
        </is>
      </c>
    </row>
    <row r="5" ht="40" customHeight="1">
      <c r="A5" s="5" t="inlineStr">
        <is>
          <t>SW</t>
        </is>
      </c>
      <c r="B5" s="3" t="inlineStr">
        <is>
          <t>Negro (Black/Schwarz)</t>
        </is>
      </c>
      <c r="C5" s="3" t="inlineStr">
        <is>
          <t>BMW / Mini (WDS)</t>
        </is>
      </c>
      <c r="D5" s="3" t="inlineStr">
        <is>
          <t>Masa / negativo</t>
        </is>
      </c>
      <c r="E5" s="3" t="inlineStr">
        <is>
          <t>Abreviatura alemana Schwarz; equivalente a BK en inglés</t>
        </is>
      </c>
      <c r="F5" s="3" t="inlineStr">
        <is>
          <t>BMW Serie 3 E90+</t>
        </is>
      </c>
    </row>
    <row r="6" ht="40" customHeight="1">
      <c r="A6" s="6" t="inlineStr">
        <is>
          <t>WS</t>
        </is>
      </c>
      <c r="B6" s="4" t="inlineStr">
        <is>
          <t>Blanco (White/Weiss)</t>
        </is>
      </c>
      <c r="C6" s="4" t="inlineStr">
        <is>
          <t>BMW / Mini (WDS)</t>
        </is>
      </c>
      <c r="D6" s="4" t="inlineStr">
        <is>
          <t>Señal de control / referencia</t>
        </is>
      </c>
      <c r="E6" s="4" t="inlineStr">
        <is>
          <t>Usado en buses de datos y señales de sensores VDO</t>
        </is>
      </c>
      <c r="F6" s="4" t="inlineStr">
        <is>
          <t>BMW F30, X5 F15</t>
        </is>
      </c>
    </row>
    <row r="7" ht="40" customHeight="1">
      <c r="A7" s="5" t="inlineStr">
        <is>
          <t>RT</t>
        </is>
      </c>
      <c r="B7" s="3" t="inlineStr">
        <is>
          <t>Rojo (Rot)</t>
        </is>
      </c>
      <c r="C7" s="3" t="inlineStr">
        <is>
          <t>BMW / Mini (WDS)</t>
        </is>
      </c>
      <c r="D7" s="3" t="inlineStr">
        <is>
          <t>Alimentación positiva</t>
        </is>
      </c>
      <c r="E7" s="3" t="inlineStr">
        <is>
          <t>Combinado: 0.5 RT/SW = 0.5 mm² rojo con traza negra</t>
        </is>
      </c>
      <c r="F7" s="3" t="inlineStr">
        <is>
          <t>BMW E46, E60, F10</t>
        </is>
      </c>
    </row>
    <row r="8" ht="40" customHeight="1">
      <c r="A8" s="6" t="inlineStr">
        <is>
          <t>GE</t>
        </is>
      </c>
      <c r="B8" s="4" t="inlineStr">
        <is>
          <t>Amarillo (Gelb)</t>
        </is>
      </c>
      <c r="C8" s="4" t="inlineStr">
        <is>
          <t>BMW / VW compartido</t>
        </is>
      </c>
      <c r="D8" s="4" t="inlineStr">
        <is>
          <t>Señales de precaución / airbag</t>
        </is>
      </c>
      <c r="E8" s="4" t="inlineStr">
        <is>
          <t>Cables amarillos reservados para SRS airbag; no cortar con contacto puesto</t>
        </is>
      </c>
      <c r="F8" s="4" t="inlineStr">
        <is>
          <t>Todos SRS/airbag</t>
        </is>
      </c>
    </row>
    <row r="9" ht="40" customHeight="1">
      <c r="A9" s="5" t="inlineStr">
        <is>
          <t>GR</t>
        </is>
      </c>
      <c r="B9" s="3" t="inlineStr">
        <is>
          <t>Gris (Grau)</t>
        </is>
      </c>
      <c r="C9" s="3" t="inlineStr">
        <is>
          <t>VW / BMW</t>
        </is>
      </c>
      <c r="D9" s="3" t="inlineStr">
        <is>
          <t>Señales de sensores secundarios</t>
        </is>
      </c>
      <c r="E9" s="3" t="inlineStr">
        <is>
          <t>Hall, temperatura, sensores de velocidad de rueda</t>
        </is>
      </c>
      <c r="F9" s="3" t="inlineStr">
        <is>
          <t>ABS/ESP sensors</t>
        </is>
      </c>
    </row>
    <row r="10" ht="40" customHeight="1">
      <c r="A10" s="6" t="inlineStr">
        <is>
          <t>VI</t>
        </is>
      </c>
      <c r="B10" s="4" t="inlineStr">
        <is>
          <t>Violeta (Violett)</t>
        </is>
      </c>
      <c r="C10" s="4" t="inlineStr">
        <is>
          <t>VW / Audi</t>
        </is>
      </c>
      <c r="D10" s="4" t="inlineStr">
        <is>
          <t>Sensor Lambda / O2</t>
        </is>
      </c>
      <c r="E10" s="4" t="inlineStr">
        <is>
          <t>Cables del calentador del sensor O2 en motores FSI/TSI</t>
        </is>
      </c>
      <c r="F10" s="4" t="inlineStr">
        <is>
          <t>Golf GTI, A3 TFSi</t>
        </is>
      </c>
    </row>
    <row r="11" ht="40" customHeight="1">
      <c r="A11" s="5" t="inlineStr">
        <is>
          <t>BK</t>
        </is>
      </c>
      <c r="B11" s="3" t="inlineStr">
        <is>
          <t>Negro (Black)</t>
        </is>
      </c>
      <c r="C11" s="3" t="inlineStr">
        <is>
          <t>Ford / GM USA</t>
        </is>
      </c>
      <c r="D11" s="3" t="inlineStr">
        <is>
          <t>Masa (GND)</t>
        </is>
      </c>
      <c r="E11" s="3" t="inlineStr">
        <is>
          <t>Estándar americano; opuesto al negro de BMW que es señal</t>
        </is>
      </c>
      <c r="F11" s="3" t="inlineStr">
        <is>
          <t>F-150, Explorer</t>
        </is>
      </c>
    </row>
    <row r="12" ht="40" customHeight="1">
      <c r="A12" s="6" t="inlineStr">
        <is>
          <t>RD / R</t>
        </is>
      </c>
      <c r="B12" s="4" t="inlineStr">
        <is>
          <t>Rojo (Red)</t>
        </is>
      </c>
      <c r="C12" s="4" t="inlineStr">
        <is>
          <t>Ford</t>
        </is>
      </c>
      <c r="D12" s="4" t="inlineStr">
        <is>
          <t>Alimentación positiva</t>
        </is>
      </c>
      <c r="E12" s="4" t="inlineStr">
        <is>
          <t>RD = nombre completo; R = abreviatura corta</t>
        </is>
      </c>
      <c r="F12" s="4" t="inlineStr">
        <is>
          <t>Mustang, F-150</t>
        </is>
      </c>
    </row>
    <row r="13" ht="40" customHeight="1">
      <c r="A13" s="5" t="inlineStr">
        <is>
          <t>BL / B</t>
        </is>
      </c>
      <c r="B13" s="3" t="inlineStr">
        <is>
          <t>Azul (Blue)</t>
        </is>
      </c>
      <c r="C13" s="3" t="inlineStr">
        <is>
          <t>Ford</t>
        </is>
      </c>
      <c r="D13" s="3" t="inlineStr">
        <is>
          <t>Señal / comunicación</t>
        </is>
      </c>
      <c r="E13" s="3" t="inlineStr">
        <is>
          <t>Módulos de control; circuitos de carga y control de relés</t>
        </is>
      </c>
      <c r="F13" s="3" t="inlineStr">
        <is>
          <t>Módulos BCM</t>
        </is>
      </c>
    </row>
    <row r="14" ht="40" customHeight="1">
      <c r="A14" s="6" t="inlineStr">
        <is>
          <t>LB</t>
        </is>
      </c>
      <c r="B14" s="4" t="inlineStr">
        <is>
          <t>Azul Claro (Light Blue)</t>
        </is>
      </c>
      <c r="C14" s="4" t="inlineStr">
        <is>
          <t>Ford</t>
        </is>
      </c>
      <c r="D14" s="4" t="inlineStr">
        <is>
          <t>Señales secundarias de sensores</t>
        </is>
      </c>
      <c r="E14" s="4" t="inlineStr">
        <is>
          <t>Diferencia con BL para evitar ambigüedad en conectores densos</t>
        </is>
      </c>
      <c r="F14" s="4" t="inlineStr">
        <is>
          <t>Sensores ABS</t>
        </is>
      </c>
    </row>
    <row r="15" ht="40" customHeight="1">
      <c r="A15" s="5" t="inlineStr">
        <is>
          <t>GY</t>
        </is>
      </c>
      <c r="B15" s="3" t="inlineStr">
        <is>
          <t>Gris (Gray)</t>
        </is>
      </c>
      <c r="C15" s="3" t="inlineStr">
        <is>
          <t>Ford / GM</t>
        </is>
      </c>
      <c r="D15" s="3" t="inlineStr">
        <is>
          <t>Señales analógicas de sensores</t>
        </is>
      </c>
      <c r="E15" s="3" t="inlineStr">
        <is>
          <t>MAF, MAP, TPS en arquitecturas Ford EEC-V y más nuevas</t>
        </is>
      </c>
      <c r="F15" s="3" t="inlineStr">
        <is>
          <t>EcoBoost engines</t>
        </is>
      </c>
    </row>
    <row r="16" ht="40" customHeight="1">
      <c r="A16" s="6" t="inlineStr">
        <is>
          <t>OG / O</t>
        </is>
      </c>
      <c r="B16" s="4" t="inlineStr">
        <is>
          <t>Naranja (Orange)</t>
        </is>
      </c>
      <c r="C16" s="4" t="inlineStr">
        <is>
          <t>Ford / Estándar Global HV</t>
        </is>
      </c>
      <c r="D16" s="4" t="inlineStr">
        <is>
          <t>Alta tensión (HV) en EV/HEV</t>
        </is>
      </c>
      <c r="E16" s="4" t="inlineStr">
        <is>
          <t>OBLIGATORIO naranja en todo cable &gt;60V DC / &gt;25V AC (ISO 6469)</t>
        </is>
      </c>
      <c r="F16" s="4" t="inlineStr">
        <is>
          <t>Mach-E, F-150 Lightning</t>
        </is>
      </c>
    </row>
    <row r="17" ht="40" customHeight="1">
      <c r="A17" s="5" t="inlineStr">
        <is>
          <t>PK</t>
        </is>
      </c>
      <c r="B17" s="3" t="inlineStr">
        <is>
          <t>Rosa (Pink)</t>
        </is>
      </c>
      <c r="C17" s="3" t="inlineStr">
        <is>
          <t>Ford / GM</t>
        </is>
      </c>
      <c r="D17" s="3" t="inlineStr">
        <is>
          <t>Señal de encendido / IGN</t>
        </is>
      </c>
      <c r="E17" s="3" t="inlineStr">
        <is>
          <t>Uso en módulos de encendido programable y anticopia (PATS)</t>
        </is>
      </c>
      <c r="F17" s="3" t="inlineStr">
        <is>
          <t>Ford PATS system</t>
        </is>
      </c>
    </row>
    <row r="18" ht="40" customHeight="1">
      <c r="A18" s="6" t="inlineStr">
        <is>
          <t>LG</t>
        </is>
      </c>
      <c r="B18" s="4" t="inlineStr">
        <is>
          <t>Verde Claro (Lt Green)</t>
        </is>
      </c>
      <c r="C18" s="4" t="inlineStr">
        <is>
          <t>Ford</t>
        </is>
      </c>
      <c r="D18" s="4" t="inlineStr">
        <is>
          <t>Señales de velocidad / VSS</t>
        </is>
      </c>
      <c r="E18" s="4" t="inlineStr">
        <is>
          <t>Vehicle Speed Sensor output; diferente de DG (verde oscuro = sensor digital)</t>
        </is>
      </c>
      <c r="F18" s="4" t="inlineStr">
        <is>
          <t>ABS/VSS</t>
        </is>
      </c>
    </row>
    <row r="19" ht="40" customHeight="1">
      <c r="A19" s="5" t="inlineStr">
        <is>
          <t>YE / Y</t>
        </is>
      </c>
      <c r="B19" s="3" t="inlineStr">
        <is>
          <t>Amarillo (Yellow)</t>
        </is>
      </c>
      <c r="C19" s="3" t="inlineStr">
        <is>
          <t>Ford / Chrysler</t>
        </is>
      </c>
      <c r="D19" s="3" t="inlineStr">
        <is>
          <t>Señales de airbag / SRS</t>
        </is>
      </c>
      <c r="E19" s="3" t="inlineStr">
        <is>
          <t>Misma convención que alemanes: amarillo = SRS; no confundir con GE de VW</t>
        </is>
      </c>
      <c r="F19" s="3" t="inlineStr">
        <is>
          <t>SRS Ford/Chrysler</t>
        </is>
      </c>
    </row>
    <row r="20" ht="40" customHeight="1">
      <c r="A20" s="6" t="inlineStr">
        <is>
          <t>BK/W H</t>
        </is>
      </c>
      <c r="B20" s="4" t="inlineStr">
        <is>
          <t>Negro base, marcas hash blancas</t>
        </is>
      </c>
      <c r="C20" s="4" t="inlineStr">
        <is>
          <t>Ford (método combinado)</t>
        </is>
      </c>
      <c r="D20" s="4" t="inlineStr">
        <is>
          <t>Cable específico en conector BCM de alta densidad</t>
        </is>
      </c>
      <c r="E20" s="4" t="inlineStr">
        <is>
          <t>La traza/hash distingue cables mismo color base con funciones opuestas</t>
        </is>
      </c>
      <c r="F20" s="4" t="inlineStr">
        <is>
          <t>BCM, PCM connectors</t>
        </is>
      </c>
    </row>
    <row r="21" ht="40" customHeight="1">
      <c r="A21" s="5" t="inlineStr">
        <is>
          <t>B</t>
        </is>
      </c>
      <c r="B21" s="3" t="inlineStr">
        <is>
          <t>Negro (Black)</t>
        </is>
      </c>
      <c r="C21" s="3" t="inlineStr">
        <is>
          <t>Nissan / Toyota / Honda</t>
        </is>
      </c>
      <c r="D21" s="3" t="inlineStr">
        <is>
          <t>Masa (GND)</t>
        </is>
      </c>
      <c r="E21" s="3" t="inlineStr">
        <is>
          <t>Estándar japonés; igual que Ford USA en convención de masa = negro</t>
        </is>
      </c>
      <c r="F21" s="3" t="inlineStr">
        <is>
          <t>Nissan NP300, Hilux</t>
        </is>
      </c>
    </row>
    <row r="22" ht="40" customHeight="1">
      <c r="A22" s="6" t="inlineStr">
        <is>
          <t>L</t>
        </is>
      </c>
      <c r="B22" s="4" t="inlineStr">
        <is>
          <t>Azul (Blue)</t>
        </is>
      </c>
      <c r="C22" s="4" t="inlineStr">
        <is>
          <t>Nissan / Toyota</t>
        </is>
      </c>
      <c r="D22" s="4" t="inlineStr">
        <is>
          <t>Alimentación KL15 (encendido)</t>
        </is>
      </c>
      <c r="E22" s="4" t="inlineStr">
        <is>
          <t>Azul = ignition switched en la mayoría de marcas japonesas</t>
        </is>
      </c>
      <c r="F22" s="4" t="inlineStr">
        <is>
          <t>Altima, Corolla</t>
        </is>
      </c>
    </row>
    <row r="23" ht="40" customHeight="1">
      <c r="A23" s="5" t="inlineStr">
        <is>
          <t>W</t>
        </is>
      </c>
      <c r="B23" s="3" t="inlineStr">
        <is>
          <t>Blanco (White)</t>
        </is>
      </c>
      <c r="C23" s="3" t="inlineStr">
        <is>
          <t>Nissan / Toyota</t>
        </is>
      </c>
      <c r="D23" s="3" t="inlineStr">
        <is>
          <t>Señal de sensor / referencia 5V</t>
        </is>
      </c>
      <c r="E23" s="3" t="inlineStr">
        <is>
          <t>Cables de señal de sensores; pines de referencia en ECU Denso/Hitachi</t>
        </is>
      </c>
      <c r="F23" s="3" t="inlineStr">
        <is>
          <t>Frontier, bZ4X</t>
        </is>
      </c>
    </row>
    <row r="24" ht="40" customHeight="1">
      <c r="A24" s="6" t="inlineStr">
        <is>
          <t>OR / OG</t>
        </is>
      </c>
      <c r="B24" s="4" t="inlineStr">
        <is>
          <t>Naranja (Orange)</t>
        </is>
      </c>
      <c r="C24" s="4" t="inlineStr">
        <is>
          <t>Todos (estándar global)</t>
        </is>
      </c>
      <c r="D24" s="4" t="inlineStr">
        <is>
          <t>Cable de alta tensión HV</t>
        </is>
      </c>
      <c r="E24" s="4" t="inlineStr">
        <is>
          <t>Obligatorio en EV/HEV independientemente de marca; funda extra en tramos largos</t>
        </is>
      </c>
      <c r="F24" s="4" t="inlineStr">
        <is>
          <t>Leaf, Prius, BZ4X</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18" customWidth="1" min="1" max="1"/>
    <col width="20" customWidth="1" min="2" max="2"/>
    <col width="22" customWidth="1" min="3" max="3"/>
    <col width="18" customWidth="1" min="4" max="4"/>
    <col width="20" customWidth="1" min="5" max="5"/>
    <col width="38" customWidth="1" min="6" max="6"/>
    <col width="20" customWidth="1" min="7" max="7"/>
  </cols>
  <sheetData>
    <row r="1" ht="24" customHeight="1">
      <c r="A1" s="1" t="inlineStr">
        <is>
          <t>SISTEMAS DE ALTA TENSIÓN — EV / HEV — Diagnóstico y Seguridad</t>
        </is>
      </c>
    </row>
    <row r="2" ht="20" customHeight="1">
      <c r="A2" s="1" t="inlineStr">
        <is>
          <t>CONTACTORES HVBJB — Ford Mustang Mach-E (400V–800V DC)</t>
        </is>
      </c>
    </row>
    <row r="3">
      <c r="A3" s="2" t="inlineStr">
        <is>
          <t>Contactor</t>
        </is>
      </c>
      <c r="B3" s="2" t="inlineStr">
        <is>
          <t>Resistencia Bobina (Ω)</t>
        </is>
      </c>
      <c r="C3" s="2" t="inlineStr">
        <is>
          <t>Corriente Retención @ 12V</t>
        </is>
      </c>
      <c r="D3" s="2" t="inlineStr">
        <is>
          <t>Voltaje Cierre</t>
        </is>
      </c>
      <c r="E3" s="2" t="inlineStr">
        <is>
          <t>Voltaje Apertura</t>
        </is>
      </c>
      <c r="F3" s="2" t="inlineStr">
        <is>
          <t>Función</t>
        </is>
      </c>
      <c r="G3" s="2" t="inlineStr">
        <is>
          <t>Fallo Típico</t>
        </is>
      </c>
    </row>
    <row r="4" ht="40" customHeight="1">
      <c r="A4" s="7" t="inlineStr">
        <is>
          <t>Main +</t>
        </is>
      </c>
      <c r="B4" s="3" t="inlineStr">
        <is>
          <t>23.2 Ω</t>
        </is>
      </c>
      <c r="C4" s="3" t="inlineStr">
        <is>
          <t>0.518 A</t>
        </is>
      </c>
      <c r="D4" s="3" t="inlineStr">
        <is>
          <t>7.64 V</t>
        </is>
      </c>
      <c r="E4" s="3" t="inlineStr">
        <is>
          <t>2.32 V</t>
        </is>
      </c>
      <c r="F4" s="3" t="inlineStr">
        <is>
          <t>Contactor principal positivo — conecta batería HV al bus de distribución</t>
        </is>
      </c>
      <c r="G4" s="3" t="inlineStr">
        <is>
          <t>Pegado por calor en carga rápida DCFC; DTC P0AA6</t>
        </is>
      </c>
    </row>
    <row r="5" ht="40" customHeight="1">
      <c r="A5" s="8" t="inlineStr">
        <is>
          <t>Main –</t>
        </is>
      </c>
      <c r="B5" s="4" t="inlineStr">
        <is>
          <t>22.8 Ω</t>
        </is>
      </c>
      <c r="C5" s="4" t="inlineStr">
        <is>
          <t>0.526 A</t>
        </is>
      </c>
      <c r="D5" s="4" t="inlineStr">
        <is>
          <t>7.65 V</t>
        </is>
      </c>
      <c r="E5" s="4" t="inlineStr">
        <is>
          <t>2.54 V</t>
        </is>
      </c>
      <c r="F5" s="4" t="inlineStr">
        <is>
          <t>Contactor principal negativo — retorno de corriente de alta tensión</t>
        </is>
      </c>
      <c r="G5" s="4" t="inlineStr">
        <is>
          <t>No apertura = cortocircuito en bus; verificar HVIL</t>
        </is>
      </c>
    </row>
    <row r="6" ht="40" customHeight="1">
      <c r="A6" s="7" t="inlineStr">
        <is>
          <t>DCFC +</t>
        </is>
      </c>
      <c r="B6" s="3" t="inlineStr">
        <is>
          <t>23.0 Ω</t>
        </is>
      </c>
      <c r="C6" s="3" t="inlineStr">
        <is>
          <t>0.521 A</t>
        </is>
      </c>
      <c r="D6" s="3" t="inlineStr">
        <is>
          <t>7.55 V</t>
        </is>
      </c>
      <c r="E6" s="3" t="inlineStr">
        <is>
          <t>2.38 V</t>
        </is>
      </c>
      <c r="F6" s="3" t="inlineStr">
        <is>
          <t>Carga rápida DC positiva (CHAdeMO / CCS Combo)</t>
        </is>
      </c>
      <c r="G6" s="3" t="inlineStr">
        <is>
          <t>Desgaste acelerado en sesiones DCFC múltiples diarias</t>
        </is>
      </c>
    </row>
    <row r="7" ht="40" customHeight="1">
      <c r="A7" s="8" t="inlineStr">
        <is>
          <t>DCFC –</t>
        </is>
      </c>
      <c r="B7" s="4" t="inlineStr">
        <is>
          <t>22.9 Ω</t>
        </is>
      </c>
      <c r="C7" s="4" t="inlineStr">
        <is>
          <t>0.525 A</t>
        </is>
      </c>
      <c r="D7" s="4" t="inlineStr">
        <is>
          <t>7.78 V</t>
        </is>
      </c>
      <c r="E7" s="4" t="inlineStr">
        <is>
          <t>2.57 V</t>
        </is>
      </c>
      <c r="F7" s="4" t="inlineStr">
        <is>
          <t>Carga rápida DC negativa</t>
        </is>
      </c>
      <c r="G7" s="4" t="inlineStr">
        <is>
          <t>Monitorear tap de voltaje en busbar de 3 mm cobre</t>
        </is>
      </c>
    </row>
    <row r="8" ht="40" customHeight="1">
      <c r="A8" s="7" t="inlineStr">
        <is>
          <t>Aux –</t>
        </is>
      </c>
      <c r="B8" s="3" t="inlineStr">
        <is>
          <t>21.6 Ω</t>
        </is>
      </c>
      <c r="C8" s="3" t="inlineStr">
        <is>
          <t>0.555 A</t>
        </is>
      </c>
      <c r="D8" s="3" t="inlineStr">
        <is>
          <t>6.55 V</t>
        </is>
      </c>
      <c r="E8" s="3" t="inlineStr">
        <is>
          <t>2.39 V</t>
        </is>
      </c>
      <c r="F8" s="3" t="inlineStr">
        <is>
          <t>Masa auxiliar para sistemas 12V derivados del DCDC converter</t>
        </is>
      </c>
      <c r="G8" s="3" t="inlineStr">
        <is>
          <t>Relacionado con fallos de sistema 12V en BEV</t>
        </is>
      </c>
    </row>
    <row r="9" ht="40" customHeight="1">
      <c r="A9" s="8" t="inlineStr">
        <is>
          <t>Precharge</t>
        </is>
      </c>
      <c r="B9" s="4" t="inlineStr">
        <is>
          <t>51.5 Ω</t>
        </is>
      </c>
      <c r="C9" s="4" t="inlineStr">
        <is>
          <t>0.223 A</t>
        </is>
      </c>
      <c r="D9" s="4" t="inlineStr">
        <is>
          <t>6.42 V</t>
        </is>
      </c>
      <c r="E9" s="4" t="inlineStr">
        <is>
          <t>3.30 V</t>
        </is>
      </c>
      <c r="F9" s="4" t="inlineStr">
        <is>
          <t>Precarga de capacitores en inversor (resistencia 24 Ω / 30W en serie)</t>
        </is>
      </c>
      <c r="G9" s="4" t="inlineStr">
        <is>
          <t>Si falla: pico de irrupción destruye semiconductores del inversor</t>
        </is>
      </c>
    </row>
    <row r="11" ht="20" customHeight="1">
      <c r="A11" s="1" t="inlineStr">
        <is>
          <t>CIRCUITO HVIL (High Voltage Interlock Loop) — Tesla Model 3 / Estándar Global</t>
        </is>
      </c>
    </row>
    <row r="12">
      <c r="A12" s="2" t="inlineStr">
        <is>
          <t>Parámetro</t>
        </is>
      </c>
      <c r="B12" s="2" t="inlineStr">
        <is>
          <t>Valor / Descripción</t>
        </is>
      </c>
      <c r="C12" s="2" t="inlineStr">
        <is>
          <t>Norma de Referencia</t>
        </is>
      </c>
      <c r="D12" s="2" t="inlineStr">
        <is>
          <t>Acción si falla</t>
        </is>
      </c>
      <c r="E12" s="2" t="inlineStr">
        <is>
          <t>Sistema Ejemplo</t>
        </is>
      </c>
    </row>
    <row r="13">
      <c r="A13" s="9" t="inlineStr">
        <is>
          <t>Voltaje de lazo HVIL</t>
        </is>
      </c>
      <c r="B13" s="3" t="inlineStr">
        <is>
          <t>12V DC en circuito cerrado (no HV)</t>
        </is>
      </c>
      <c r="C13" s="3" t="inlineStr">
        <is>
          <t>ISO 6469-3</t>
        </is>
      </c>
      <c r="D13" s="3" t="inlineStr">
        <is>
          <t>BECM/BMS abre contactores principales en &lt;500 ms</t>
        </is>
      </c>
      <c r="E13" s="3" t="inlineStr">
        <is>
          <t>Tesla Model 3 / Mach-E</t>
        </is>
      </c>
    </row>
    <row r="14">
      <c r="A14" s="10" t="inlineStr">
        <is>
          <t>Corriente de lazo HVIL</t>
        </is>
      </c>
      <c r="B14" s="4" t="inlineStr">
        <is>
          <t>&lt;10 mA (señal de monitoreo)</t>
        </is>
      </c>
      <c r="C14" s="4" t="inlineStr">
        <is>
          <t>SAE J1772</t>
        </is>
      </c>
      <c r="D14" s="4" t="inlineStr">
        <is>
          <t>Detección de apertura de conector → corte inmediato de HV</t>
        </is>
      </c>
      <c r="E14" s="4" t="inlineStr">
        <is>
          <t>Todos los EV homologados</t>
        </is>
      </c>
    </row>
    <row r="15">
      <c r="A15" s="9" t="inlineStr">
        <is>
          <t>Resistencia de lazo HVIL</t>
        </is>
      </c>
      <c r="B15" s="3" t="inlineStr">
        <is>
          <t>&lt;10 Ω en lazo completo cerrado</t>
        </is>
      </c>
      <c r="C15" s="3" t="inlineStr">
        <is>
          <t>FMVSS305</t>
        </is>
      </c>
      <c r="D15" s="3" t="inlineStr">
        <is>
          <t>Resistencia alta = conector suelto o dañado → fallo P0AA0</t>
        </is>
      </c>
      <c r="E15" s="3" t="inlineStr">
        <is>
          <t>Leaf, ID.4, Mach-E</t>
        </is>
      </c>
    </row>
    <row r="16">
      <c r="A16" s="10" t="inlineStr">
        <is>
          <t>Tiempo de descarga HV post-crash</t>
        </is>
      </c>
      <c r="B16" s="4" t="inlineStr">
        <is>
          <t>&lt;5 segundos a &lt;60V DC</t>
        </is>
      </c>
      <c r="C16" s="4" t="inlineStr">
        <is>
          <t>ECE R100</t>
        </is>
      </c>
      <c r="D16" s="4" t="inlineStr">
        <is>
          <t>Condensadores de inversor → resistencia de descarga pasiva interna</t>
        </is>
      </c>
      <c r="E16" s="4" t="inlineStr">
        <is>
          <t>Estándar global EV</t>
        </is>
      </c>
    </row>
    <row r="17">
      <c r="A17" s="9" t="inlineStr">
        <is>
          <t>Color obligatorio cable HV</t>
        </is>
      </c>
      <c r="B17" s="3" t="inlineStr">
        <is>
          <t>NARANJA — sin excepción</t>
        </is>
      </c>
      <c r="C17" s="3" t="inlineStr">
        <is>
          <t>ISO 6469-3 / SAE J1673</t>
        </is>
      </c>
      <c r="D17" s="3" t="inlineStr">
        <is>
          <t>Cable naranja cortado sin interlock = electrocución 400-800V DC</t>
        </is>
      </c>
      <c r="E17" s="3" t="inlineStr">
        <is>
          <t>Todos los EV/PHEV/HEV</t>
        </is>
      </c>
    </row>
    <row r="18">
      <c r="A18" s="11" t="n"/>
      <c r="B18" s="11" t="n"/>
      <c r="C18" s="11" t="n"/>
      <c r="D18" s="11" t="n"/>
      <c r="E18" s="11" t="n"/>
    </row>
  </sheetData>
  <mergeCells count="3">
    <mergeCell ref="A11:G11"/>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showGridLines="0" workbookViewId="0">
      <selection activeCell="A1" sqref="A1"/>
    </sheetView>
  </sheetViews>
  <sheetFormatPr baseColWidth="8" defaultRowHeight="15"/>
  <cols>
    <col width="20" customWidth="1" min="1" max="1"/>
    <col width="20" customWidth="1" min="2" max="2"/>
    <col width="24" customWidth="1" min="3" max="3"/>
    <col width="36" customWidth="1" min="4" max="4"/>
    <col width="22" customWidth="1" min="5" max="5"/>
    <col width="24" customWidth="1" min="6" max="6"/>
    <col width="42" customWidth="1" min="7" max="7"/>
  </cols>
  <sheetData>
    <row r="1" ht="24" customHeight="1">
      <c r="A1" s="1" t="inlineStr">
        <is>
          <t>PROTOCOLOS DE COMUNICACIÓN AUTOMOTRIZ — Arquitectura de Redes 2020-2026</t>
        </is>
      </c>
    </row>
    <row r="2" ht="30" customHeight="1">
      <c r="A2" s="2" t="inlineStr">
        <is>
          <t>Protocolo</t>
        </is>
      </c>
      <c r="B2" s="2" t="inlineStr">
        <is>
          <t>Velocidad Máx.</t>
        </is>
      </c>
      <c r="C2" s="2" t="inlineStr">
        <is>
          <t>Topología</t>
        </is>
      </c>
      <c r="D2" s="2" t="inlineStr">
        <is>
          <t>Aplicación Crítica</t>
        </is>
      </c>
      <c r="E2" s="2" t="inlineStr">
        <is>
          <t>Resistencia Terminación</t>
        </is>
      </c>
      <c r="F2" s="2" t="inlineStr">
        <is>
          <t>Diagnóstico OBD2 (pines)</t>
        </is>
      </c>
      <c r="G2" s="2" t="inlineStr">
        <is>
          <t>Nota Técnica</t>
        </is>
      </c>
    </row>
    <row r="3" ht="42" customHeight="1">
      <c r="A3" s="5" t="inlineStr">
        <is>
          <t>LIN Bus</t>
        </is>
      </c>
      <c r="B3" s="3" t="inlineStr">
        <is>
          <t>20 kbps</t>
        </is>
      </c>
      <c r="C3" s="3" t="inlineStr">
        <is>
          <t>Maestro-Esclavo (1 hilo)</t>
        </is>
      </c>
      <c r="D3" s="3" t="inlineStr">
        <is>
          <t>Confort: espejos, asientos, clima, persianas, sensores lluvia</t>
        </is>
      </c>
      <c r="E3" s="12" t="inlineStr">
        <is>
          <t>1 kΩ en maestro</t>
        </is>
      </c>
      <c r="F3" s="3" t="inlineStr">
        <is>
          <t>No accesible en OBD2 directamente</t>
        </is>
      </c>
      <c r="G3" s="3" t="inlineStr">
        <is>
          <t>Un único hilo; el maestro controla hasta 16 esclavos; bajo costo</t>
        </is>
      </c>
    </row>
    <row r="4" ht="42" customHeight="1">
      <c r="A4" s="6" t="inlineStr">
        <is>
          <t>CAN 2.0B (Classical)</t>
        </is>
      </c>
      <c r="B4" s="4" t="inlineStr">
        <is>
          <t>1 Mbps (típico 500 kbps)</t>
        </is>
      </c>
      <c r="C4" s="4" t="inlineStr">
        <is>
          <t>Bus diferencial (2 hilos)</t>
        </is>
      </c>
      <c r="D4" s="4" t="inlineStr">
        <is>
          <t>Motor, caja, ABS, airbag — sistemas de seguridad básicos</t>
        </is>
      </c>
      <c r="E4" s="13" t="inlineStr">
        <is>
          <t>120 Ω en cada extremo → 60 Ω total</t>
        </is>
      </c>
      <c r="F4" s="4" t="inlineStr">
        <is>
          <t>Pin 6 (CAN-H) / Pin 14 (CAN-L)</t>
        </is>
      </c>
      <c r="G4" s="4" t="inlineStr">
        <is>
          <t>Diagnóstico: 60 Ω entre pines 6-14 OBD2 con batería desconectada</t>
        </is>
      </c>
    </row>
    <row r="5" ht="42" customHeight="1">
      <c r="A5" s="5" t="inlineStr">
        <is>
          <t>CAN-FD</t>
        </is>
      </c>
      <c r="B5" s="3" t="inlineStr">
        <is>
          <t>2–8 Mbps (fase datos)</t>
        </is>
      </c>
      <c r="C5" s="3" t="inlineStr">
        <is>
          <t>Bus diferencial multidrop</t>
        </is>
      </c>
      <c r="D5" s="3" t="inlineStr">
        <is>
          <t>Control de dinámica en tiempo real: ESC, dirección EPS, frenos AEB</t>
        </is>
      </c>
      <c r="E5" s="12" t="inlineStr">
        <is>
          <t>120 Ω en extremos de red</t>
        </is>
      </c>
      <c r="F5" s="3" t="inlineStr">
        <is>
          <t>Pin 6 / Pin 14 (mismos que CAN)</t>
        </is>
      </c>
      <c r="G5" s="3" t="inlineStr">
        <is>
          <t>FD = Flexible Data-rate; tramas de hasta 64 bytes vs 8 bytes del CAN clásico</t>
        </is>
      </c>
    </row>
    <row r="6" ht="42" customHeight="1">
      <c r="A6" s="6" t="inlineStr">
        <is>
          <t>FlexRay</t>
        </is>
      </c>
      <c r="B6" s="4" t="inlineStr">
        <is>
          <t>10 Mbps (por canal)</t>
        </is>
      </c>
      <c r="C6" s="4" t="inlineStr">
        <is>
          <t>Estrella / Bus híbrido</t>
        </is>
      </c>
      <c r="D6" s="4" t="inlineStr">
        <is>
          <t>Sistemas By-Wire: EPS, frenado electrónico, suspensión activa</t>
        </is>
      </c>
      <c r="E6" s="13" t="inlineStr">
        <is>
          <t>100 Ω diferencial</t>
        </is>
      </c>
      <c r="F6" s="4" t="inlineStr">
        <is>
          <t>No estándar en OBD2; requiere J2534 + DLL OEM</t>
        </is>
      </c>
      <c r="G6" s="4" t="inlineStr">
        <is>
          <t>Determinístico: tiempo de ciclo fijo garantizado — crítico en seguridad</t>
        </is>
      </c>
    </row>
    <row r="7" ht="42" customHeight="1">
      <c r="A7" s="5" t="inlineStr">
        <is>
          <t>Automotive Ethernet (100Base-T1)</t>
        </is>
      </c>
      <c r="B7" s="3" t="inlineStr">
        <is>
          <t>100 Mbps</t>
        </is>
      </c>
      <c r="C7" s="3" t="inlineStr">
        <is>
          <t>Punto a punto / Conmutada</t>
        </is>
      </c>
      <c r="D7" s="3" t="inlineStr">
        <is>
          <t>Cámaras ADAS, gateway zonal, actualizaciones OTA, radar imaging</t>
        </is>
      </c>
      <c r="E7" s="12" t="inlineStr">
        <is>
          <t>No aplica (par trenzado no blindado UTP)</t>
        </is>
      </c>
      <c r="F7" s="3" t="inlineStr">
        <is>
          <t>Requiere diagnóstico DoIP (ISO 13400)</t>
        </is>
      </c>
      <c r="G7" s="3" t="inlineStr">
        <is>
          <t>30% menos peso que Ethernet estándar; hasta 15 m por segmento</t>
        </is>
      </c>
    </row>
    <row r="8" ht="42" customHeight="1">
      <c r="A8" s="6" t="inlineStr">
        <is>
          <t>1000Base-T1 (Gbps Ethernet)</t>
        </is>
      </c>
      <c r="B8" s="4" t="inlineStr">
        <is>
          <t>1 Gbps</t>
        </is>
      </c>
      <c r="C8" s="4" t="inlineStr">
        <is>
          <t>Conmutada switched</t>
        </is>
      </c>
      <c r="D8" s="4" t="inlineStr">
        <is>
          <t>Procesadores centrales de conducción autónoma; fusión sensores Lvl 3+</t>
        </is>
      </c>
      <c r="E8" s="13" t="inlineStr">
        <is>
          <t>No aplica</t>
        </is>
      </c>
      <c r="F8" s="4" t="inlineStr">
        <is>
          <t>DoIP / OEM scanner con Ethernet</t>
        </is>
      </c>
      <c r="G8" s="4" t="inlineStr">
        <is>
          <t>Implementado en Mercedes EQS, BMW iX, VW ID.7 ICAS</t>
        </is>
      </c>
    </row>
    <row r="9" ht="42" customHeight="1">
      <c r="A9" s="5" t="inlineStr">
        <is>
          <t>10Base-T1S (Multi-drop)</t>
        </is>
      </c>
      <c r="B9" s="3" t="inlineStr">
        <is>
          <t>10 Mbps</t>
        </is>
      </c>
      <c r="C9" s="3" t="inlineStr">
        <is>
          <t>Bus multidrop (hasta 8 nodos)</t>
        </is>
      </c>
      <c r="D9" s="3" t="inlineStr">
        <is>
          <t>Reemplazo económico de CAN para sensores de carrocería y confort</t>
        </is>
      </c>
      <c r="E9" s="12" t="inlineStr">
        <is>
          <t>100 Ω en extremos</t>
        </is>
      </c>
      <c r="F9" s="3" t="inlineStr">
        <is>
          <t>Futuro acceso diagnóstico via SAE J1979-3</t>
        </is>
      </c>
      <c r="G9" s="3" t="inlineStr">
        <is>
          <t>Permite topología bus como CAN pero con protocolo Ethernet; bajo costo</t>
        </is>
      </c>
    </row>
    <row r="10" ht="42" customHeight="1">
      <c r="A10" s="6" t="inlineStr">
        <is>
          <t>MOST (150)</t>
        </is>
      </c>
      <c r="B10" s="4" t="inlineStr">
        <is>
          <t>150 Mbps</t>
        </is>
      </c>
      <c r="C10" s="4" t="inlineStr">
        <is>
          <t>Anillo óptico / cobre</t>
        </is>
      </c>
      <c r="D10" s="4" t="inlineStr">
        <is>
          <t>Multimedia de alta calidad: audio THX, video 4K, navegación</t>
        </is>
      </c>
      <c r="E10" s="13" t="inlineStr">
        <is>
          <t>No aplica (óptico = fibra plástica)</t>
        </is>
      </c>
      <c r="F10" s="4" t="inlineStr">
        <is>
          <t>No en OBD2; diagnóstico vía infotainment</t>
        </is>
      </c>
      <c r="G10" s="4" t="inlineStr">
        <is>
          <t>Audi/BMW premium; cayendo en desuso ante Automotive Ethernet</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22" customWidth="1" min="1" max="1"/>
    <col width="22" customWidth="1" min="2" max="2"/>
    <col width="40" customWidth="1" min="3" max="3"/>
    <col width="20" customWidth="1" min="4" max="4"/>
    <col width="28" customWidth="1" min="5" max="5"/>
    <col width="22" customWidth="1" min="6" max="6"/>
    <col width="42" customWidth="1" min="7" max="7"/>
  </cols>
  <sheetData>
    <row r="1" ht="24" customHeight="1">
      <c r="A1" s="1" t="inlineStr">
        <is>
          <t>PINOUTS DE SENSORES ADAS / ECU — Valores de Referencia y Diagnóstico con Osciloscopio</t>
        </is>
      </c>
    </row>
    <row r="2" ht="20" customHeight="1">
      <c r="A2" s="1" t="inlineStr">
        <is>
          <t>RADAR FRONTAL BOSCH Generación 7 — Toyota bZ4X / Lexus / Subaru EyeSight (Conector 8 pines)</t>
        </is>
      </c>
    </row>
    <row r="3">
      <c r="A3" s="2" t="inlineStr">
        <is>
          <t>Pin</t>
        </is>
      </c>
      <c r="B3" s="2" t="inlineStr">
        <is>
          <t>Designación</t>
        </is>
      </c>
      <c r="C3" s="2" t="inlineStr">
        <is>
          <t>Función Eléctrica</t>
        </is>
      </c>
      <c r="D3" s="2" t="inlineStr">
        <is>
          <t>Valor Normal</t>
        </is>
      </c>
      <c r="E3" s="2" t="inlineStr">
        <is>
          <t>Valor de Fallo</t>
        </is>
      </c>
      <c r="F3" s="2" t="inlineStr">
        <is>
          <t>Herramienta</t>
        </is>
      </c>
      <c r="G3" s="2" t="inlineStr">
        <is>
          <t>Nota</t>
        </is>
      </c>
    </row>
    <row r="4" ht="40" customHeight="1">
      <c r="A4" s="5" t="inlineStr">
        <is>
          <t>1</t>
        </is>
      </c>
      <c r="B4" s="3" t="inlineStr">
        <is>
          <t>VCC</t>
        </is>
      </c>
      <c r="C4" s="3" t="inlineStr">
        <is>
          <t>Alimentación +12V</t>
        </is>
      </c>
      <c r="D4" s="3" t="inlineStr">
        <is>
          <t>11.5V – 14.5V</t>
        </is>
      </c>
      <c r="E4" s="3" t="inlineStr">
        <is>
          <t>&lt;10V = sensor inactivo</t>
        </is>
      </c>
      <c r="F4" s="3" t="inlineStr">
        <is>
          <t>Multímetro</t>
        </is>
      </c>
      <c r="G4" s="3" t="inlineStr">
        <is>
          <t>Verificar antes de desconectar; sensor se reinicia si se pierde alimentación</t>
        </is>
      </c>
    </row>
    <row r="5" ht="40" customHeight="1">
      <c r="A5" s="6" t="inlineStr">
        <is>
          <t>2</t>
        </is>
      </c>
      <c r="B5" s="4" t="inlineStr">
        <is>
          <t>GND</t>
        </is>
      </c>
      <c r="C5" s="4" t="inlineStr">
        <is>
          <t>Masa (–)</t>
        </is>
      </c>
      <c r="D5" s="4" t="inlineStr">
        <is>
          <t>Resistencia &lt;0.5 Ω a chasis</t>
        </is>
      </c>
      <c r="E5" s="4" t="inlineStr">
        <is>
          <t>&gt;1 Ω = masa deficiente; fallos de rango e intensidad</t>
        </is>
      </c>
      <c r="F5" s="4" t="inlineStr">
        <is>
          <t>Multímetro / ohmímetro</t>
        </is>
      </c>
      <c r="G5" s="4" t="inlineStr">
        <is>
          <t>Masa independiente del chasis; no compartir con masa de audio/potencia</t>
        </is>
      </c>
    </row>
    <row r="6" ht="40" customHeight="1">
      <c r="A6" s="5" t="inlineStr">
        <is>
          <t>3</t>
        </is>
      </c>
      <c r="B6" s="3" t="inlineStr">
        <is>
          <t>CAN-H</t>
        </is>
      </c>
      <c r="C6" s="3" t="inlineStr">
        <is>
          <t>CAN High — bus de datos radar</t>
        </is>
      </c>
      <c r="D6" s="3" t="inlineStr">
        <is>
          <t>Señal oscilante 2.5V–3.5V en reposo 2.5V</t>
        </is>
      </c>
      <c r="E6" s="3" t="inlineStr">
        <is>
          <t>Fija en 5V = cortocircuito a positivo</t>
        </is>
      </c>
      <c r="F6" s="3" t="inlineStr">
        <is>
          <t>Osciloscopio 2 canales</t>
        </is>
      </c>
      <c r="G6" s="3" t="inlineStr">
        <is>
          <t>Bus dedicado ADAS; no compartido con CAN de motor en arquitecturas zonales</t>
        </is>
      </c>
    </row>
    <row r="7" ht="40" customHeight="1">
      <c r="A7" s="6" t="inlineStr">
        <is>
          <t>4</t>
        </is>
      </c>
      <c r="B7" s="4" t="inlineStr">
        <is>
          <t>CAN-L</t>
        </is>
      </c>
      <c r="C7" s="4" t="inlineStr">
        <is>
          <t>CAN Low — bus de datos radar</t>
        </is>
      </c>
      <c r="D7" s="4" t="inlineStr">
        <is>
          <t>Señal oscilante 1.5V–2.5V en reposo 2.5V</t>
        </is>
      </c>
      <c r="E7" s="4" t="inlineStr">
        <is>
          <t>Fija en 0V = cortocircuito a masa</t>
        </is>
      </c>
      <c r="F7" s="4" t="inlineStr">
        <is>
          <t>Osciloscopio 2 canales</t>
        </is>
      </c>
      <c r="G7" s="4" t="inlineStr">
        <is>
          <t>CAN-H y CAN-L deben ser imagen espejo perfecta; diferencial = 2V</t>
        </is>
      </c>
    </row>
    <row r="8" ht="40" customHeight="1">
      <c r="A8" s="5" t="inlineStr">
        <is>
          <t>5</t>
        </is>
      </c>
      <c r="B8" s="3" t="inlineStr">
        <is>
          <t>Wake-up / IGN</t>
        </is>
      </c>
      <c r="C8" s="3" t="inlineStr">
        <is>
          <t>Señal de activación por encendido</t>
        </is>
      </c>
      <c r="D8" s="3" t="inlineStr">
        <is>
          <t>12V con contacto puesto</t>
        </is>
      </c>
      <c r="E8" s="3" t="inlineStr">
        <is>
          <t>0V = sensor dormido → sin detección de objetos</t>
        </is>
      </c>
      <c r="F8" s="3" t="inlineStr">
        <is>
          <t>Multímetro</t>
        </is>
      </c>
      <c r="G8" s="3" t="inlineStr">
        <is>
          <t>En algunos modelos activado por Gateway ICAS a través de LIN auxiliar</t>
        </is>
      </c>
    </row>
    <row r="9" ht="40" customHeight="1">
      <c r="A9" s="6" t="inlineStr">
        <is>
          <t>6</t>
        </is>
      </c>
      <c r="B9" s="4" t="inlineStr">
        <is>
          <t>LIN</t>
        </is>
      </c>
      <c r="C9" s="4" t="inlineStr">
        <is>
          <t>LIN bus de configuración</t>
        </is>
      </c>
      <c r="D9" s="4" t="inlineStr">
        <is>
          <t>Señal LIN 12V pulsos (20 kbps)</t>
        </is>
      </c>
      <c r="E9" s="4" t="inlineStr">
        <is>
          <t>Sin señal = sin configuración de ángulo horizontal</t>
        </is>
      </c>
      <c r="F9" s="4" t="inlineStr">
        <is>
          <t>Osciloscopio / escáner OEM</t>
        </is>
      </c>
      <c r="G9" s="4" t="inlineStr">
        <is>
          <t>Solo en versiones con ajuste eléctrico de ángulo del radar</t>
        </is>
      </c>
    </row>
    <row r="10" ht="40" customHeight="1">
      <c r="A10" s="5" t="inlineStr">
        <is>
          <t>7</t>
        </is>
      </c>
      <c r="B10" s="3" t="inlineStr">
        <is>
          <t>NC / Blindaje</t>
        </is>
      </c>
      <c r="C10" s="3" t="inlineStr">
        <is>
          <t>No conectado / pantalla metálica</t>
        </is>
      </c>
      <c r="D10" s="3" t="inlineStr">
        <is>
          <t>—</t>
        </is>
      </c>
      <c r="E10" s="3" t="inlineStr">
        <is>
          <t>—</t>
        </is>
      </c>
      <c r="F10" s="3" t="inlineStr">
        <is>
          <t>—</t>
        </is>
      </c>
      <c r="G10" s="3" t="inlineStr">
        <is>
          <t>El blindaje debe conectarse a masa en UN solo extremo (lado sensor o Gateway)</t>
        </is>
      </c>
    </row>
    <row r="11" ht="40" customHeight="1">
      <c r="A11" s="6" t="inlineStr">
        <is>
          <t>8</t>
        </is>
      </c>
      <c r="B11" s="4" t="inlineStr">
        <is>
          <t>Diagnóstico / UART</t>
        </is>
      </c>
      <c r="C11" s="4" t="inlineStr">
        <is>
          <t>Puerto de diagnóstico interno OEM</t>
        </is>
      </c>
      <c r="D11" s="4" t="inlineStr">
        <is>
          <t>Solo accesible con DAS/XENTRY o TIS2Web OEM</t>
        </is>
      </c>
      <c r="E11" s="4" t="inlineStr">
        <is>
          <t>—</t>
        </is>
      </c>
      <c r="F11" s="4" t="inlineStr">
        <is>
          <t>OEM scan tool</t>
        </is>
      </c>
      <c r="G11" s="4" t="inlineStr">
        <is>
          <t>Permite ajuste de alineación post-reemplazo o colisión</t>
        </is>
      </c>
    </row>
    <row r="14" ht="20" customHeight="1">
      <c r="A14" s="1" t="inlineStr">
        <is>
          <t>TIPOS DE SEÑAL DE SENSORES — Valores con Osciloscopio y Multímetro</t>
        </is>
      </c>
    </row>
    <row r="15">
      <c r="A15" s="2" t="inlineStr">
        <is>
          <t>Componente</t>
        </is>
      </c>
      <c r="B15" s="2" t="inlineStr">
        <is>
          <t>Tipo de Señal</t>
        </is>
      </c>
      <c r="C15" s="2" t="inlineStr">
        <is>
          <t>Forma de Onda / Comportamiento</t>
        </is>
      </c>
      <c r="D15" s="2" t="inlineStr">
        <is>
          <t>Voltaje Típico</t>
        </is>
      </c>
      <c r="E15" s="2" t="inlineStr">
        <is>
          <t>Frecuencia / Ciclo</t>
        </is>
      </c>
      <c r="F15" s="2" t="inlineStr">
        <is>
          <t>Herramienta</t>
        </is>
      </c>
      <c r="G15" s="2" t="inlineStr">
        <is>
          <t>Fallo Común</t>
        </is>
      </c>
    </row>
    <row r="16">
      <c r="A16" s="12" t="inlineStr">
        <is>
          <t>Sensor Hall (CKP/CMP/ABS)</t>
        </is>
      </c>
      <c r="B16" s="3" t="inlineStr">
        <is>
          <t>Digital cuadrada</t>
        </is>
      </c>
      <c r="C16" s="3" t="inlineStr">
        <is>
          <t>Conmutación limpia 0V ↔ 5V (o 12V en CMP industrial)</t>
        </is>
      </c>
      <c r="D16" s="3" t="inlineStr">
        <is>
          <t>0V / 5V (alimentado a 5V por ECU)</t>
        </is>
      </c>
      <c r="E16" s="3" t="inlineStr">
        <is>
          <t>Variable según RPM: 0–6000 Hz en CKP motor gasolina</t>
        </is>
      </c>
      <c r="F16" s="3" t="inlineStr">
        <is>
          <t>Osciloscopio</t>
        </is>
      </c>
      <c r="G16" s="3" t="inlineStr">
        <is>
          <t>Señal sucia/distorsionada = eje dañado o interferencia EMI; aumentar resistencia de terminación</t>
        </is>
      </c>
    </row>
    <row r="17">
      <c r="A17" s="13" t="inlineStr">
        <is>
          <t>Inyector GDI (Alta presión)</t>
        </is>
      </c>
      <c r="B17" s="4" t="inlineStr">
        <is>
          <t>Pulso de alta tensión</t>
        </is>
      </c>
      <c r="C17" s="4" t="inlineStr">
        <is>
          <t>Pico de apertura hasta 65V → plateau de retención 5–12V → corte</t>
        </is>
      </c>
      <c r="D17" s="4" t="inlineStr">
        <is>
          <t>Pico: 65V / Retención: 5–12V</t>
        </is>
      </c>
      <c r="E17" s="4" t="inlineStr">
        <is>
          <t>Según inyección: 2–50 ms de anchura de pulso (PW)</t>
        </is>
      </c>
      <c r="F17" s="4" t="inlineStr">
        <is>
          <t>Osciloscopio alta tensión (&gt;100V CH)</t>
        </is>
      </c>
      <c r="G17" s="4" t="inlineStr">
        <is>
          <t>Sin pico inicial = bobina abierta; sin retención = transistor de control dañado en PCM</t>
        </is>
      </c>
    </row>
    <row r="18">
      <c r="A18" s="12" t="inlineStr">
        <is>
          <t>Bus CAN (diferencial)</t>
        </is>
      </c>
      <c r="B18" s="3" t="inlineStr">
        <is>
          <t>Diferencial espejo</t>
        </is>
      </c>
      <c r="C18" s="3" t="inlineStr">
        <is>
          <t>CAN-H y CAN-L son imagen perfectamente opuesta; diferencial = 2V</t>
        </is>
      </c>
      <c r="D18" s="3" t="inlineStr">
        <is>
          <t>CAN-H: 2.5–3.5V / CAN-L: 1.5–2.5V</t>
        </is>
      </c>
      <c r="E18" s="3" t="inlineStr">
        <is>
          <t>500 kbps–5 Mbps (CAN-FD); tramas cada 10–100 ms</t>
        </is>
      </c>
      <c r="F18" s="3" t="inlineStr">
        <is>
          <t>Osciloscopio 2 canales diferencial</t>
        </is>
      </c>
      <c r="G18" s="3" t="inlineStr">
        <is>
          <t>Señales no espejo = resistencia terminación perdida o cable roto; red colapsada</t>
        </is>
      </c>
    </row>
    <row r="19">
      <c r="A19" s="13" t="inlineStr">
        <is>
          <t>Sensor MAF (Hilo caliente)</t>
        </is>
      </c>
      <c r="B19" s="4" t="inlineStr">
        <is>
          <t>Analógico o frecuencia</t>
        </is>
      </c>
      <c r="C19" s="4" t="inlineStr">
        <is>
          <t>Voltaje aumenta proporcionalmente al flujo de aire (0.5–4.5V rango), o frecuencia (15–150 Hz)</t>
        </is>
      </c>
      <c r="D19" s="4" t="inlineStr">
        <is>
          <t>0.5V en ralentí → 4.5V en plena carga</t>
        </is>
      </c>
      <c r="E19" s="4" t="inlineStr">
        <is>
          <t>15 Hz ralentí → 150 Hz máximo en MAF tipo frecuencia</t>
        </is>
      </c>
      <c r="F19" s="4" t="inlineStr">
        <is>
          <t>Multímetro / osciloscopio</t>
        </is>
      </c>
      <c r="G19" s="4" t="inlineStr">
        <is>
          <t>Hilo sucio = lectura baja fija; limpieza con spray MAF; no tocar hilo</t>
        </is>
      </c>
    </row>
    <row r="20">
      <c r="A20" s="12" t="inlineStr">
        <is>
          <t>Sensor O2 Wideband (LSU)</t>
        </is>
      </c>
      <c r="B20" s="3" t="inlineStr">
        <is>
          <t>Dual: bomba de corriente + referencia de voltaje</t>
        </is>
      </c>
      <c r="C20" s="3" t="inlineStr">
        <is>
          <t>Celda Nernst: 450 mV en λ=1; IP celda: –8 mA (rico) a +8 mA (pobre)</t>
        </is>
      </c>
      <c r="D20" s="3" t="inlineStr">
        <is>
          <t>Nernst: 0.1–0.9V / IP: ±8 mA</t>
        </is>
      </c>
      <c r="E20" s="3" t="inlineStr">
        <is>
          <t>Ciclos de control lambda: 0.5–2 Hz en bucle cerrado</t>
        </is>
      </c>
      <c r="F20" s="3" t="inlineStr">
        <is>
          <t>Osciloscopio + fuente corriente</t>
        </is>
      </c>
      <c r="G20" s="3" t="inlineStr">
        <is>
          <t>Sin calentamiento previo = señal fija; verificar KL15 del calentador (4 hilos)</t>
        </is>
      </c>
    </row>
    <row r="21">
      <c r="A21" s="13" t="inlineStr">
        <is>
          <t>Sensor Knock / Detonación</t>
        </is>
      </c>
      <c r="B21" s="4" t="inlineStr">
        <is>
          <t>Analógico sinusoidal (piezo)</t>
        </is>
      </c>
      <c r="C21" s="4" t="inlineStr">
        <is>
          <t>Vibración motor → voltaje sinusoidal proporcional; ECU filtra frecuencias específicas</t>
        </is>
      </c>
      <c r="D21" s="4" t="inlineStr">
        <is>
          <t>±0.5V a ±2V durante detonación</t>
        </is>
      </c>
      <c r="E21" s="4" t="inlineStr">
        <is>
          <t>Frecuencia central: 6–8 kHz (motores 4 cil.) o 4–6 kHz (V6/V8)</t>
        </is>
      </c>
      <c r="F21" s="4" t="inlineStr">
        <is>
          <t>Osciloscopio alta sensibilidad</t>
        </is>
      </c>
      <c r="G21" s="4" t="inlineStr">
        <is>
          <t>Cable de blindaje desconectado = ruido EMI falso → retardo de encendido permanente</t>
        </is>
      </c>
    </row>
    <row r="22">
      <c r="A22" s="12" t="inlineStr">
        <is>
          <t>Inyector Piezoelectrico (FSI/TDI)</t>
        </is>
      </c>
      <c r="B22" s="3" t="inlineStr">
        <is>
          <t>Pulso de alta tensión bidireccional</t>
        </is>
      </c>
      <c r="C22" s="3" t="inlineStr">
        <is>
          <t>Carga: +100V pulso 200 µs; descarga: –100V; sin bobina = respuesta ultrarrápida</t>
        </is>
      </c>
      <c r="D22" s="3" t="inlineStr">
        <is>
          <t>±100V</t>
        </is>
      </c>
      <c r="E22" s="3" t="inlineStr">
        <is>
          <t>200–500 µs anchura de pulso; hasta 5 eventos por carrera</t>
        </is>
      </c>
      <c r="F22" s="3" t="inlineStr">
        <is>
          <t>Osciloscopio diferencial 200V</t>
        </is>
      </c>
      <c r="G22" s="3" t="inlineStr">
        <is>
          <t>No intercambiable con solenoides; requiere codificación IMA/IQA en VAG-COM</t>
        </is>
      </c>
    </row>
    <row r="23">
      <c r="A23" s="13" t="inlineStr">
        <is>
          <t>Sensor Presión Rail GDI (KR)</t>
        </is>
      </c>
      <c r="B23" s="4" t="inlineStr">
        <is>
          <t>Analógico lineal</t>
        </is>
      </c>
      <c r="C23" s="4" t="inlineStr">
        <is>
          <t>0.5V vacío (0 bar) → 4.5V presión máxima (350 bar gasolina / 2200 bar diesel)</t>
        </is>
      </c>
      <c r="D23" s="4" t="inlineStr">
        <is>
          <t>0.5V – 4.5V</t>
        </is>
      </c>
      <c r="E23" s="4" t="inlineStr">
        <is>
          <t>DC / cuasi-estático; lectura cada 10 ms por ECU</t>
        </is>
      </c>
      <c r="F23" s="4" t="inlineStr">
        <is>
          <t>Multímetro / scanner PID</t>
        </is>
      </c>
      <c r="G23" s="4" t="inlineStr">
        <is>
          <t>Presión baja + señal OK = bomba alta presión; señal fija = sensor abierto</t>
        </is>
      </c>
    </row>
    <row r="24">
      <c r="A24" s="11" t="n"/>
      <c r="B24" s="11" t="n"/>
      <c r="C24" s="11" t="n"/>
      <c r="D24" s="11" t="n"/>
      <c r="E24" s="11" t="n"/>
      <c r="F24" s="11" t="n"/>
      <c r="G24" s="11" t="n"/>
    </row>
  </sheetData>
  <mergeCells count="3">
    <mergeCell ref="A14:G14"/>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showGridLines="0" workbookViewId="0">
      <selection activeCell="A1" sqref="A1"/>
    </sheetView>
  </sheetViews>
  <sheetFormatPr baseColWidth="8" defaultRowHeight="15"/>
  <cols>
    <col width="28" customWidth="1" min="1" max="1"/>
    <col width="24" customWidth="1" min="2" max="2"/>
    <col width="22" customWidth="1" min="3" max="3"/>
    <col width="20" customWidth="1" min="4" max="4"/>
    <col width="40" customWidth="1" min="5" max="5"/>
    <col width="44" customWidth="1" min="6" max="6"/>
  </cols>
  <sheetData>
    <row r="1" ht="24" customHeight="1">
      <c r="A1" s="1" t="inlineStr">
        <is>
          <t>INTEGRIDAD DE MASA Y METODOLOGÍA DE DIAGNÓSTICO ELÉCTRICO</t>
        </is>
      </c>
    </row>
    <row r="2" ht="30" customHeight="1">
      <c r="A2" s="2" t="inlineStr">
        <is>
          <t>Parámetro</t>
        </is>
      </c>
      <c r="B2" s="2" t="inlineStr">
        <is>
          <t>Valor de Referencia</t>
        </is>
      </c>
      <c r="C2" s="2" t="inlineStr">
        <is>
          <t>Norma / Fuente</t>
        </is>
      </c>
      <c r="D2" s="2" t="inlineStr">
        <is>
          <t>Herramienta</t>
        </is>
      </c>
      <c r="E2" s="2" t="inlineStr">
        <is>
          <t>Procedimiento</t>
        </is>
      </c>
      <c r="F2" s="2" t="inlineStr">
        <is>
          <t>Interpretación de Resultado</t>
        </is>
      </c>
    </row>
    <row r="3" ht="48" customHeight="1">
      <c r="A3" s="9" t="inlineStr">
        <is>
          <t>Resistencia punto de masa a batería</t>
        </is>
      </c>
      <c r="B3" s="14" t="inlineStr">
        <is>
          <t>&lt;0.5 Ω (ideal: &lt;0.1 Ω)</t>
        </is>
      </c>
      <c r="C3" s="3" t="inlineStr">
        <is>
          <t>Ford/VW/Toyota TSB</t>
        </is>
      </c>
      <c r="D3" s="3" t="inlineStr">
        <is>
          <t>Ohmímetro / multímetro</t>
        </is>
      </c>
      <c r="E3" s="3" t="inlineStr">
        <is>
          <t>Batería desconectada. Medir entre terminal negativo del componente y borne (–) de batería</t>
        </is>
      </c>
      <c r="F3" s="3" t="inlineStr">
        <is>
          <t>&gt;0.5 Ω = limpieza / reapriete del perno de masa; &gt;2 Ω = reemplazar cable</t>
        </is>
      </c>
    </row>
    <row r="4" ht="48" customHeight="1">
      <c r="A4" s="10" t="inlineStr">
        <is>
          <t>Caída de voltaje en masa (carga activa)</t>
        </is>
      </c>
      <c r="B4" s="15" t="inlineStr">
        <is>
          <t>&lt;0.1V (100 mV máximo)</t>
        </is>
      </c>
      <c r="C4" s="4" t="inlineStr">
        <is>
          <t>SAE J1211 / OEM specs</t>
        </is>
      </c>
      <c r="D4" s="4" t="inlineStr">
        <is>
          <t>Multímetro modo voltaje DC</t>
        </is>
      </c>
      <c r="E4" s="4" t="inlineStr">
        <is>
          <t>Componente activo encendido. Medir entre terminal (–) del componente y borne (–) batería</t>
        </is>
      </c>
      <c r="F4" s="4" t="inlineStr">
        <is>
          <t>&gt;0.1V = resistencia excesiva → fallos fantasma en CAN y sensores</t>
        </is>
      </c>
    </row>
    <row r="5" ht="48" customHeight="1">
      <c r="A5" s="9" t="inlineStr">
        <is>
          <t>Caída de voltaje positivo (alimentación)</t>
        </is>
      </c>
      <c r="B5" s="14" t="inlineStr">
        <is>
          <t>&lt;0.3V entre fusible y componente</t>
        </is>
      </c>
      <c r="C5" s="3" t="inlineStr">
        <is>
          <t>Ford SDS / VAG ERWIN</t>
        </is>
      </c>
      <c r="D5" s="3" t="inlineStr">
        <is>
          <t>Multímetro DC bajo rango</t>
        </is>
      </c>
      <c r="E5" s="3" t="inlineStr">
        <is>
          <t>Componente en carga máxima. Medir entre salida fusible y borne (+) del componente</t>
        </is>
      </c>
      <c r="F5" s="3" t="inlineStr">
        <is>
          <t>&gt;0.3V = cable degradado o contacto del fusible oxidado</t>
        </is>
      </c>
    </row>
    <row r="6" ht="48" customHeight="1">
      <c r="A6" s="10" t="inlineStr">
        <is>
          <t>Número máximo de terminales por perno de masa</t>
        </is>
      </c>
      <c r="B6" s="15" t="inlineStr">
        <is>
          <t>2 terminales por perno</t>
        </is>
      </c>
      <c r="C6" s="4" t="inlineStr">
        <is>
          <t>Ford Engineering Spec</t>
        </is>
      </c>
      <c r="D6" s="4" t="inlineStr">
        <is>
          <t>Visual</t>
        </is>
      </c>
      <c r="E6" s="4" t="inlineStr">
        <is>
          <t>Contar cables en cada perno de masa del vehículo</t>
        </is>
      </c>
      <c r="F6" s="4" t="inlineStr">
        <is>
          <t>Más de 2 = agregar punto de masa auxiliar; nunca encadenar</t>
        </is>
      </c>
    </row>
    <row r="7" ht="48" customHeight="1">
      <c r="A7" s="9" t="inlineStr">
        <is>
          <t>Resistencia red CAN (total)</t>
        </is>
      </c>
      <c r="B7" s="14" t="inlineStr">
        <is>
          <t>60 Ω entre Pin 6 y Pin 14 OBD2</t>
        </is>
      </c>
      <c r="C7" s="3" t="inlineStr">
        <is>
          <t>ISO 11898-2</t>
        </is>
      </c>
      <c r="D7" s="3" t="inlineStr">
        <is>
          <t>Multímetro modo resistencia (batería desconectada)</t>
        </is>
      </c>
      <c r="E7" s="3" t="inlineStr">
        <is>
          <t>Desconectar batería. Medir entre Pin 6 (CAN-H) y Pin 14 (CAN-L) del conector OBD2</t>
        </is>
      </c>
      <c r="F7" s="3" t="inlineStr">
        <is>
          <t>120 Ω = falta una resistencia de terminación; ∞ = bus roto; &lt;55 Ω = resistencia extra o cortocircuito</t>
        </is>
      </c>
    </row>
    <row r="8" ht="48" customHeight="1">
      <c r="A8" s="10" t="inlineStr">
        <is>
          <t>Resistencia terminación CAN individual</t>
        </is>
      </c>
      <c r="B8" s="15" t="inlineStr">
        <is>
          <t>120 Ω por extremo de red</t>
        </is>
      </c>
      <c r="C8" s="4" t="inlineStr">
        <is>
          <t>ISO 11898-2</t>
        </is>
      </c>
      <c r="D8" s="4" t="inlineStr">
        <is>
          <t>Multímetro (desconectar ECUs extremas)</t>
        </is>
      </c>
      <c r="E8" s="4" t="inlineStr">
        <is>
          <t>Desconectar ECU en extremo físico del bus. Medir en el conector de la ECU desconectada</t>
        </is>
      </c>
      <c r="F8" s="4" t="inlineStr">
        <is>
          <t>Sin 120 Ω = ECU no tiene terminación integrada (verificar diagrama de topología)</t>
        </is>
      </c>
    </row>
    <row r="9" ht="48" customHeight="1">
      <c r="A9" s="9" t="inlineStr">
        <is>
          <t>Aislamiento HV de cable naranja (EV)</t>
        </is>
      </c>
      <c r="B9" s="14" t="inlineStr">
        <is>
          <t>&gt;1 MΩ entre HV y chasis</t>
        </is>
      </c>
      <c r="C9" s="3" t="inlineStr">
        <is>
          <t>IEC 60479-1 / ECE R100</t>
        </is>
      </c>
      <c r="D9" s="3" t="inlineStr">
        <is>
          <t>Megóhmetro (500V–1000V DC)</t>
        </is>
      </c>
      <c r="E9" s="3" t="inlineStr">
        <is>
          <t>HV sistema desactivado (interlock). Medir entre cable naranja y chasis con megóhmetro</t>
        </is>
      </c>
      <c r="F9" s="3" t="inlineStr">
        <is>
          <t>&lt;1 MΩ = fuga de alta tensión → peligro mortal; no conducir ni abrir paquete de batería</t>
        </is>
      </c>
    </row>
    <row r="10" ht="48" customHeight="1">
      <c r="A10" s="10" t="inlineStr">
        <is>
          <t>Blindaje EMI: conexión de masa</t>
        </is>
      </c>
      <c r="B10" s="15" t="inlineStr">
        <is>
          <t>Solo un extremo del blindaje conectado</t>
        </is>
      </c>
      <c r="C10" s="4" t="inlineStr">
        <is>
          <t>IEC 61000-5-2</t>
        </is>
      </c>
      <c r="D10" s="4" t="inlineStr">
        <is>
          <t>Visual + continuidad</t>
        </is>
      </c>
      <c r="E10" s="4" t="inlineStr">
        <is>
          <t>Verificar que la malla/pantalla del cable solo toca masa en un lado (lado ECU generalmente)</t>
        </is>
      </c>
      <c r="F10" s="4" t="inlineStr">
        <is>
          <t>Masa en ambos extremos = la pantalla actúa como conductor de retorno → ruido EMI aumentado</t>
        </is>
      </c>
    </row>
    <row r="11" ht="48" customHeight="1">
      <c r="A11" s="9" t="inlineStr">
        <is>
          <t>Frecuencia de inspección puntos de masa</t>
        </is>
      </c>
      <c r="B11" s="14" t="inlineStr">
        <is>
          <t>Cada 40,000 km o diagnóstico de fallo fantasma</t>
        </is>
      </c>
      <c r="C11" s="3" t="inlineStr">
        <is>
          <t>Toyota/Ford PM</t>
        </is>
      </c>
      <c r="D11" s="3" t="inlineStr">
        <is>
          <t>Visual + multímetro</t>
        </is>
      </c>
      <c r="E11" s="3" t="inlineStr">
        <is>
          <t>Inspeccionar oxidación, pintura bajo arandela, apriete 8–12 Nm según OEM</t>
        </is>
      </c>
      <c r="F11" s="3" t="inlineStr">
        <is>
          <t>Óxido visible = limpieza con cepillo alambre + antioxidante de terminales</t>
        </is>
      </c>
    </row>
  </sheetData>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6"/>
  <sheetViews>
    <sheetView showGridLines="0" workbookViewId="0">
      <pane ySplit="2" topLeftCell="A3" activePane="bottomLeft" state="frozen"/>
      <selection pane="bottomLeft" activeCell="A1" sqref="A1"/>
    </sheetView>
  </sheetViews>
  <sheetFormatPr baseColWidth="8" defaultRowHeight="15"/>
  <cols>
    <col width="20" customWidth="1" min="1" max="1"/>
    <col width="26" customWidth="1" min="2" max="2"/>
    <col width="30" customWidth="1" min="3" max="3"/>
    <col width="22" customWidth="1" min="4" max="4"/>
    <col width="26" customWidth="1" min="5" max="5"/>
    <col width="20" customWidth="1" min="6" max="6"/>
    <col width="50" customWidth="1" min="7" max="7"/>
  </cols>
  <sheetData>
    <row r="1" ht="24" customHeight="1">
      <c r="A1" s="1" t="inlineStr">
        <is>
          <t>FAMILIAS DE ECU AUTOMOTRIZ — Identificación, Protocolo y Aplicación</t>
        </is>
      </c>
    </row>
    <row r="2" ht="30" customHeight="1">
      <c r="A2" s="2" t="inlineStr">
        <is>
          <t>Familia ECU</t>
        </is>
      </c>
      <c r="B2" s="2" t="inlineStr">
        <is>
          <t>Fabricante (OEM)</t>
        </is>
      </c>
      <c r="C2" s="2" t="inlineStr">
        <is>
          <t>Aplicación Principal</t>
        </is>
      </c>
      <c r="D2" s="2" t="inlineStr">
        <is>
          <t>Tipo de Motor</t>
        </is>
      </c>
      <c r="E2" s="2" t="inlineStr">
        <is>
          <t>Protocolo Comunicación</t>
        </is>
      </c>
      <c r="F2" s="2" t="inlineStr">
        <is>
          <t>Prefijo Bosch</t>
        </is>
      </c>
      <c r="G2" s="2" t="inlineStr">
        <is>
          <t>Nota Técnica</t>
        </is>
      </c>
    </row>
    <row r="3" ht="44" customHeight="1">
      <c r="A3" s="16" t="inlineStr">
        <is>
          <t>EDC15 (P/V/VM)</t>
        </is>
      </c>
      <c r="B3" s="3" t="inlineStr">
        <is>
          <t>Volkswagen, Audi, SEAT, Skoda</t>
        </is>
      </c>
      <c r="C3" s="3" t="inlineStr">
        <is>
          <t>Gestión motor diesel — 1ª generación CAN</t>
        </is>
      </c>
      <c r="D3" s="3" t="inlineStr">
        <is>
          <t>Diesel (TDI PD)</t>
        </is>
      </c>
      <c r="E3" s="12" t="inlineStr">
        <is>
          <t>K-Line (ISO 9141-2)</t>
        </is>
      </c>
      <c r="F3" s="3" t="inlineStr">
        <is>
          <t>0 281 0xx</t>
        </is>
      </c>
      <c r="G3" s="3" t="inlineStr">
        <is>
          <t>Sin CAN nativo; comunicación diagnóstico por K-Line; compatible OBD2 básico; editable con ECU Flash y MPPS</t>
        </is>
      </c>
    </row>
    <row r="4" ht="44" customHeight="1">
      <c r="A4" s="17" t="inlineStr">
        <is>
          <t>EDC16 (U1/CP34)</t>
        </is>
      </c>
      <c r="B4" s="4" t="inlineStr">
        <is>
          <t>VAG, Mercedes-Benz, BMW</t>
        </is>
      </c>
      <c r="C4" s="4" t="inlineStr">
        <is>
          <t>Gestión diesel con K-Line + CAN simultáneo</t>
        </is>
      </c>
      <c r="D4" s="4" t="inlineStr">
        <is>
          <t>Diesel (TDI PD/Common Rail)</t>
        </is>
      </c>
      <c r="E4" s="13" t="inlineStr">
        <is>
          <t>K-Line + CAN High-Low</t>
        </is>
      </c>
      <c r="F4" s="4" t="inlineStr">
        <is>
          <t>0 281 011–013</t>
        </is>
      </c>
      <c r="G4" s="4" t="inlineStr">
        <is>
          <t>Transición a CAN; primer EDC con capacidad de actualización OTA limitada; requiere pin 15 activo para iniciar diagnóstico</t>
        </is>
      </c>
    </row>
    <row r="5" ht="44" customHeight="1">
      <c r="A5" s="16" t="inlineStr">
        <is>
          <t>EDC17 (CP14/CPxx)</t>
        </is>
      </c>
      <c r="B5" s="3" t="inlineStr">
        <is>
          <t>VAG, BMW, Ford, Renault</t>
        </is>
      </c>
      <c r="C5" s="3" t="inlineStr">
        <is>
          <t>Gestión diesel full CAN — alta integración ADAS</t>
        </is>
      </c>
      <c r="D5" s="3" t="inlineStr">
        <is>
          <t>Diesel Common Rail Euro 5/6</t>
        </is>
      </c>
      <c r="E5" s="12" t="inlineStr">
        <is>
          <t>CAN Bus alta velocidad (500 kbps)</t>
        </is>
      </c>
      <c r="F5" s="3" t="inlineStr">
        <is>
          <t>0 281 014–018</t>
        </is>
      </c>
      <c r="G5" s="3" t="inlineStr">
        <is>
          <t>Sin K-Line; diagnóstico solo por CAN; requiere J2534 con driver CAN-FD para variantes 2020+; inmovilizador IMMO4</t>
        </is>
      </c>
    </row>
    <row r="6" ht="44" customHeight="1">
      <c r="A6" s="17" t="inlineStr">
        <is>
          <t>MED17</t>
        </is>
      </c>
      <c r="B6" s="4" t="inlineStr">
        <is>
          <t>VAG, BMW, Mercedes</t>
        </is>
      </c>
      <c r="C6" s="4" t="inlineStr">
        <is>
          <t>Gestión gasolina GDI — equivalente EDC17</t>
        </is>
      </c>
      <c r="D6" s="4" t="inlineStr">
        <is>
          <t>Gasolina directa (FSI/TSI/TFSI)</t>
        </is>
      </c>
      <c r="E6" s="13" t="inlineStr">
        <is>
          <t>CAN Bus (500 kbps)</t>
        </is>
      </c>
      <c r="F6" s="4" t="inlineStr">
        <is>
          <t>0 261 S0x</t>
        </is>
      </c>
      <c r="G6" s="4" t="inlineStr">
        <is>
          <t>Controla inyectores piezoeléctricos de alta presión; integra control de turbo electrónico; emparejamiento de inyectores IMA obligatorio</t>
        </is>
      </c>
    </row>
    <row r="7" ht="44" customHeight="1">
      <c r="A7" s="16" t="inlineStr">
        <is>
          <t>ME 7.1.1</t>
        </is>
      </c>
      <c r="B7" s="3" t="inlineStr">
        <is>
          <t>VAG, Porsche</t>
        </is>
      </c>
      <c r="C7" s="3" t="inlineStr">
        <is>
          <t>Motronic gasolina clásico — última gen K-Line</t>
        </is>
      </c>
      <c r="D7" s="3" t="inlineStr">
        <is>
          <t>Gasolina (AXW, AUM, AGU, AME)</t>
        </is>
      </c>
      <c r="E7" s="12" t="inlineStr">
        <is>
          <t>K-Line / CAN mixto</t>
        </is>
      </c>
      <c r="F7" s="3" t="inlineStr">
        <is>
          <t>0 261 207</t>
        </is>
      </c>
      <c r="G7" s="3" t="inlineStr">
        <is>
          <t>Base de muchos remaps de rendimiento; código de seguridad WFS3 (inmovilizador); muy estudiado en aftermarket</t>
        </is>
      </c>
    </row>
    <row r="8" ht="44" customHeight="1">
      <c r="A8" s="17" t="inlineStr">
        <is>
          <t>ME 9.0</t>
        </is>
      </c>
      <c r="B8" s="4" t="inlineStr">
        <is>
          <t>Ford Europa (Focus, C-Max)</t>
        </is>
      </c>
      <c r="C8" s="4" t="inlineStr">
        <is>
          <t>Motronic gasolina Ford adaptado</t>
        </is>
      </c>
      <c r="D8" s="4" t="inlineStr">
        <is>
          <t>Gasolina (Duratec HE/Ti-VCT)</t>
        </is>
      </c>
      <c r="E8" s="13" t="inlineStr">
        <is>
          <t>CAN Bus</t>
        </is>
      </c>
      <c r="F8" s="4" t="inlineStr">
        <is>
          <t>0 261 208</t>
        </is>
      </c>
      <c r="G8" s="4" t="inlineStr">
        <is>
          <t>Ford adaptó el ME9 de Bosch; diagnóstico via Ford IDS o VCAUTO; inmovilizador PATS integrado</t>
        </is>
      </c>
    </row>
    <row r="9" ht="44" customHeight="1">
      <c r="A9" s="16" t="inlineStr">
        <is>
          <t>SID 206</t>
        </is>
      </c>
      <c r="B9" s="3" t="inlineStr">
        <is>
          <t>Ford, Volvo, PSA</t>
        </is>
      </c>
      <c r="C9" s="3" t="inlineStr">
        <is>
          <t>Sistema inyección diesel Siemens/Continental</t>
        </is>
      </c>
      <c r="D9" s="3" t="inlineStr">
        <is>
          <t>Diesel (TDCi Duratorq)</t>
        </is>
      </c>
      <c r="E9" s="12" t="inlineStr">
        <is>
          <t>CAN Bus</t>
        </is>
      </c>
      <c r="F9" s="3" t="inlineStr">
        <is>
          <t>5WS4xxxx (Siemens)</t>
        </is>
      </c>
      <c r="G9" s="3" t="inlineStr">
        <is>
          <t>No es Bosch; numeración Siemens 5WS; programación con Ford IDS obligatoria; leer con J2534 Ford VCM2</t>
        </is>
      </c>
    </row>
    <row r="10" ht="44" customHeight="1">
      <c r="A10" s="17" t="inlineStr">
        <is>
          <t>SIMOS 19.1</t>
        </is>
      </c>
      <c r="B10" s="4" t="inlineStr">
        <is>
          <t>VW, Audi (MQB)</t>
        </is>
      </c>
      <c r="C10" s="4" t="inlineStr">
        <is>
          <t>Gestión gasolina MQB — TSI EA888 Gen3/4</t>
        </is>
      </c>
      <c r="D10" s="4" t="inlineStr">
        <is>
          <t>Gasolina 1.4/1.8/2.0 TSI</t>
        </is>
      </c>
      <c r="E10" s="13" t="inlineStr">
        <is>
          <t>CAN-FD + DoIP (Ethernet)</t>
        </is>
      </c>
      <c r="F10" s="4" t="inlineStr">
        <is>
          <t>06K 906 0xx</t>
        </is>
      </c>
      <c r="G10" s="4" t="inlineStr">
        <is>
          <t>Nueva gen sin OBD2 tradicional; diagnóstico DoIP; emparejamiento por VIN obligatorio; remap requiere herramientas MQB dedicadas</t>
        </is>
      </c>
    </row>
    <row r="11" ht="44" customHeight="1">
      <c r="A11" s="16" t="inlineStr">
        <is>
          <t>GM E90 / E92</t>
        </is>
      </c>
      <c r="B11" s="3" t="inlineStr">
        <is>
          <t>General Motors (Chevrolet, GMC)</t>
        </is>
      </c>
      <c r="C11" s="3" t="inlineStr">
        <is>
          <t>Gestión gasolina GM EcoTec3 / Gen5 V8</t>
        </is>
      </c>
      <c r="D11" s="3" t="inlineStr">
        <is>
          <t>Gasolina V6/V8 (LT1, L83, L86)</t>
        </is>
      </c>
      <c r="E11" s="12" t="inlineStr">
        <is>
          <t>GMLAN (CAN 500 kbps)</t>
        </is>
      </c>
      <c r="F11" s="3" t="inlineStr">
        <is>
          <t>12680xxx (GM)</t>
        </is>
      </c>
      <c r="G11" s="3" t="inlineStr">
        <is>
          <t>Sistema GMLAN propietario; diagnóstico via GM GDS2 o Tech2Win; AFM (Active Fuel Management) controlado por E92; seguridad SPS obligatoria</t>
        </is>
      </c>
    </row>
    <row r="12" ht="44" customHeight="1">
      <c r="A12" s="17" t="inlineStr">
        <is>
          <t>PCM-150 Elite</t>
        </is>
      </c>
      <c r="B12" s="4" t="inlineStr">
        <is>
          <t>Ford (F-150, Raptor R)</t>
        </is>
      </c>
      <c r="C12" s="4" t="inlineStr">
        <is>
          <t>Gestión integral motor + transmisión (PCM unificado)</t>
        </is>
      </c>
      <c r="D12" s="4" t="inlineStr">
        <is>
          <t>Gasolina V8 Supercharged (5.2L Predator)</t>
        </is>
      </c>
      <c r="E12" s="13" t="inlineStr">
        <is>
          <t>CAN-FD + Ethernet (DoIP)</t>
        </is>
      </c>
      <c r="F12" s="4" t="inlineStr">
        <is>
          <t>RL3A-12A650-xxx</t>
        </is>
      </c>
      <c r="G12" s="4" t="inlineStr">
        <is>
          <t>PCM unificado ECM+TCM en un módulo; emparejamiento As-Built obligatorio via Ford FORScan; no intercambiable sin reprogram. VIN</t>
        </is>
      </c>
    </row>
    <row r="13" ht="44" customHeight="1">
      <c r="A13" s="16" t="inlineStr">
        <is>
          <t>Denso Gen4</t>
        </is>
      </c>
      <c r="B13" s="3" t="inlineStr">
        <is>
          <t>Toyota, Lexus</t>
        </is>
      </c>
      <c r="C13" s="3" t="inlineStr">
        <is>
          <t>Gestión motor gasolina/diesel Toyota</t>
        </is>
      </c>
      <c r="D13" s="3" t="inlineStr">
        <is>
          <t>1GD-FTV / 2GR-FE / 2ZR</t>
        </is>
      </c>
      <c r="E13" s="12" t="inlineStr">
        <is>
          <t>CAN Bus (Toyota TCAN)</t>
        </is>
      </c>
      <c r="F13" s="3" t="inlineStr">
        <is>
          <t>89661-xxxxx (Toyota PN)</t>
        </is>
      </c>
      <c r="G13" s="3" t="inlineStr">
        <is>
          <t>Sistema propietario Toyota; herramienta Techstream recomendada; ID transponder 4D/4E/8A; flash solo con tensión estabilizada 13.5V</t>
        </is>
      </c>
    </row>
    <row r="14" ht="44" customHeight="1">
      <c r="A14" s="17" t="inlineStr">
        <is>
          <t>Delphi/Aptiv MT92</t>
        </is>
      </c>
      <c r="B14" s="4" t="inlineStr">
        <is>
          <t>GM, FIAT, Opel</t>
        </is>
      </c>
      <c r="C14" s="4" t="inlineStr">
        <is>
          <t>Gestión motor gasolina mercado global</t>
        </is>
      </c>
      <c r="D14" s="4" t="inlineStr">
        <is>
          <t>Gasolina pequeño desplazamiento</t>
        </is>
      </c>
      <c r="E14" s="13" t="inlineStr">
        <is>
          <t>CAN Bus / K-Line legacy</t>
        </is>
      </c>
      <c r="F14" s="4" t="inlineStr">
        <is>
          <t>28xxxxxx (Delphi PN)</t>
        </is>
      </c>
      <c r="G14" s="4" t="inlineStr">
        <is>
          <t>Compatible aftermarket amplio; frecuente en reparación de nivel componente; capacitores C101/C102 propensos a falla térmica</t>
        </is>
      </c>
    </row>
    <row r="15" ht="44" customHeight="1">
      <c r="A15" s="16" t="inlineStr">
        <is>
          <t>ADEM 4 (Caterpillar)</t>
        </is>
      </c>
      <c r="B15" s="3" t="inlineStr">
        <is>
          <t>Caterpillar Inc.</t>
        </is>
      </c>
      <c r="C15" s="3" t="inlineStr">
        <is>
          <t>Gestión motor diésel industrial/pesado</t>
        </is>
      </c>
      <c r="D15" s="3" t="inlineStr">
        <is>
          <t>Diesel C15 ACERT / C13</t>
        </is>
      </c>
      <c r="E15" s="12" t="inlineStr">
        <is>
          <t>J1939 (CAN 250 kbps)</t>
        </is>
      </c>
      <c r="F15" s="3" t="inlineStr">
        <is>
          <t>239-xxxx (CAT PN)</t>
        </is>
      </c>
      <c r="G15" s="3" t="inlineStr">
        <is>
          <t>Protocolo J1939 SAE; herramienta CAT ET obligatoria; parámetros de programación por licencia Cat SIS; no compatible OBD2 estándar</t>
        </is>
      </c>
    </row>
    <row r="16" ht="44" customHeight="1">
      <c r="A16" s="17" t="inlineStr">
        <is>
          <t>DDEC VI (Detroit Diesel)</t>
        </is>
      </c>
      <c r="B16" s="4" t="inlineStr">
        <is>
          <t>Detroit Diesel / Daimler</t>
        </is>
      </c>
      <c r="C16" s="4" t="inlineStr">
        <is>
          <t>Control motor diésel Serie 60 camiones</t>
        </is>
      </c>
      <c r="D16" s="4" t="inlineStr">
        <is>
          <t>Diesel 14.0L Serie 60</t>
        </is>
      </c>
      <c r="E16" s="13" t="inlineStr">
        <is>
          <t>J1939 + J1587 (ATA)</t>
        </is>
      </c>
      <c r="F16" s="4" t="inlineStr">
        <is>
          <t>23517xxx (DD PN)</t>
        </is>
      </c>
      <c r="G16" s="4" t="inlineStr">
        <is>
          <t>Doble bus: J1939 para diagnóstico moderno + J1587 legacy para compatibilidad; herramienta DiagnosticLink de DD</t>
        </is>
      </c>
    </row>
  </sheetData>
  <mergeCells count="1">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16" customWidth="1" min="1" max="1"/>
    <col width="30" customWidth="1" min="2" max="2"/>
    <col width="34" customWidth="1" min="3" max="3"/>
    <col width="16" customWidth="1" min="4" max="4"/>
    <col width="36" customWidth="1" min="5" max="5"/>
    <col width="28" customWidth="1" min="6" max="6"/>
  </cols>
  <sheetData>
    <row r="1" ht="24" customHeight="1">
      <c r="A1" s="1" t="inlineStr">
        <is>
          <t>SISTEMA DE NUMERACIÓN DE PARTES — FORD Motor Company y General Motors</t>
        </is>
      </c>
    </row>
    <row r="2" ht="20" customHeight="1">
      <c r="A2" s="1" t="inlineStr">
        <is>
          <t>FORD — Decodificación del Número de Parte (Ejemplo: D0AZ-12000-A)</t>
        </is>
      </c>
    </row>
    <row r="3">
      <c r="A3" s="2" t="inlineStr">
        <is>
          <t>Posición</t>
        </is>
      </c>
      <c r="B3" s="2" t="inlineStr">
        <is>
          <t>Carácter Ejemplo</t>
        </is>
      </c>
      <c r="C3" s="2" t="inlineStr">
        <is>
          <t>Significado</t>
        </is>
      </c>
      <c r="D3" s="2" t="inlineStr">
        <is>
          <t>Tabla Completa de Referencia</t>
        </is>
      </c>
      <c r="E3" s="2" t="inlineStr">
        <is>
          <t>Aplicación Práctica</t>
        </is>
      </c>
      <c r="F3" s="2" t="inlineStr">
        <is>
          <t>Nota</t>
        </is>
      </c>
    </row>
    <row r="4" ht="44" customHeight="1">
      <c r="A4" s="16" t="inlineStr">
        <is>
          <t>1er carácter (Década)</t>
        </is>
      </c>
      <c r="B4" s="18" t="inlineStr">
        <is>
          <t>D</t>
        </is>
      </c>
      <c r="C4" s="3" t="inlineStr">
        <is>
          <t>Década de diseño original: A=1940s, B=1950s, C=1960s, D=1970s, E=1980s, F=1990s, G=2000s, H=2010s</t>
        </is>
      </c>
      <c r="D4" s="3" t="inlineStr">
        <is>
          <t>A=40s · B=50s · C=60s · D=70s · E=80s · F=90s · G=2000s · H=2010s · J=2020s</t>
        </is>
      </c>
      <c r="E4" s="3" t="inlineStr">
        <is>
          <t>D0AZ → diseñado en la década de los 70s</t>
        </is>
      </c>
      <c r="F4" s="3" t="inlineStr">
        <is>
          <t>El carácter NO indica año exacto, sino la década de diseño; el año exacto es el 2do carácter</t>
        </is>
      </c>
    </row>
    <row r="5" ht="44" customHeight="1">
      <c r="A5" s="17" t="inlineStr">
        <is>
          <t>2do carácter (Año)</t>
        </is>
      </c>
      <c r="B5" s="19" t="inlineStr">
        <is>
          <t>0</t>
        </is>
      </c>
      <c r="C5" s="4" t="inlineStr">
        <is>
          <t>Año específico dentro de la década: 0–9 (D0=1970, D5=1975, D9=1979)</t>
        </is>
      </c>
      <c r="D5" s="4" t="inlineStr">
        <is>
          <t>0=año 0 · 1=año 1 · 2=año 2 … 9=año 9 de la década</t>
        </is>
      </c>
      <c r="E5" s="4" t="inlineStr">
        <is>
          <t>D0 = 1970 exacto; E5 = 1985; F2 = 1992</t>
        </is>
      </c>
      <c r="F5" s="4" t="inlineStr">
        <is>
          <t>Sirve para rastrear el año de diseño original, no el año de fabricación del vehículo</t>
        </is>
      </c>
    </row>
    <row r="6" ht="44" customHeight="1">
      <c r="A6" s="16" t="inlineStr">
        <is>
          <t>3er carácter (Línea de vehículo)</t>
        </is>
      </c>
      <c r="B6" s="18" t="inlineStr">
        <is>
          <t>A</t>
        </is>
      </c>
      <c r="C6" s="3" t="inlineStr">
        <is>
          <t>Plataforma o modelo para el que fue diseñado originalmente</t>
        </is>
      </c>
      <c r="D6" s="3" t="inlineStr">
        <is>
          <t>A=Ford grande/Galaxie · F=Serie F · Z=Mustang · S=Thunderbird · C=Falcon · P=Pinto</t>
        </is>
      </c>
      <c r="E6" s="3" t="inlineStr">
        <is>
          <t>D0AZ = diseñado para Ford tamaño completo (Galaxie/LTD)</t>
        </is>
      </c>
      <c r="F6" s="3" t="inlineStr">
        <is>
          <t>En partes de servicio modernas este carácter puede diferir del número de ingeniería original</t>
        </is>
      </c>
    </row>
    <row r="7" ht="44" customHeight="1">
      <c r="A7" s="17" t="inlineStr">
        <is>
          <t>4to carácter (División de ingeniería)</t>
        </is>
      </c>
      <c r="B7" s="19" t="inlineStr">
        <is>
          <t>Z</t>
        </is>
      </c>
      <c r="C7" s="4" t="inlineStr">
        <is>
          <t>División responsable del diseño dentro de Ford Engineering</t>
        </is>
      </c>
      <c r="D7" s="4" t="inlineStr">
        <is>
          <t>Z=Partes de Servicio · B=Carrocería/Eléctrico · E=Motores · A=Ensamblado · H=Calefacción/AC</t>
        </is>
      </c>
      <c r="E7" s="4" t="inlineStr">
        <is>
          <t>D0AZ = gestionado por División de Partes de Servicio (Z)</t>
        </is>
      </c>
      <c r="F7" s="4" t="inlineStr">
        <is>
          <t>La división Z indica que es un número de catálogo de servicio, no de fabricación original</t>
        </is>
      </c>
    </row>
    <row r="8" ht="44" customHeight="1">
      <c r="A8" s="16" t="inlineStr">
        <is>
          <t>Número base (5-8 dígitos)</t>
        </is>
      </c>
      <c r="B8" s="18" t="inlineStr">
        <is>
          <t>12000</t>
        </is>
      </c>
      <c r="C8" s="3" t="inlineStr">
        <is>
          <t>Identifica la familia de componentes. Rangos estándar por sistema:</t>
        </is>
      </c>
      <c r="D8" s="3" t="inlineStr">
        <is>
          <t>1xxxx=Encendido/Arranque · 6xxx=Combustible · 8xxx=Eléctrico · 14xxx=Transmisión · 17xxx=Frenos</t>
        </is>
      </c>
      <c r="E8" s="3" t="inlineStr">
        <is>
          <t>12000-12390 = familia de sistemas de encendido y arranque</t>
        </is>
      </c>
      <c r="F8" s="3" t="inlineStr">
        <is>
          <t>El número base es la clave para búsqueda en catálogos MOTORCRAFT y FORD ETIS</t>
        </is>
      </c>
    </row>
    <row r="9" ht="44" customHeight="1">
      <c r="A9" s="17" t="inlineStr">
        <is>
          <t>Sufijo (Revisión)</t>
        </is>
      </c>
      <c r="B9" s="19" t="inlineStr">
        <is>
          <t>A</t>
        </is>
      </c>
      <c r="C9" s="4" t="inlineStr">
        <is>
          <t>Nivel de cambio técnico desde la versión original. A=primera versión, B=segunda revisión, etc.</t>
        </is>
      </c>
      <c r="D9" s="4" t="inlineStr">
        <is>
          <t>A → B → C → D (orden cronológico de revisiones técnicas)</t>
        </is>
      </c>
      <c r="E9" s="4" t="inlineStr">
        <is>
          <t>Un sufijo B en lugar de A indica mejora técnica (tolerancias, materiales, compatibilidad)</t>
        </is>
      </c>
      <c r="F9" s="4" t="inlineStr">
        <is>
          <t>Al pedir refacciones, siempre pedir el sufijo más reciente disponible para obtener la versión mejorada</t>
        </is>
      </c>
    </row>
    <row r="11" ht="20" customHeight="1">
      <c r="A11" s="1" t="inlineStr">
        <is>
          <t>FORD — Tabla Completa de Líneas de Vehículo (3er Carácter del Número de Parte)</t>
        </is>
      </c>
    </row>
    <row r="12">
      <c r="A12" s="2" t="inlineStr">
        <is>
          <t>Carácter</t>
        </is>
      </c>
      <c r="B12" s="2" t="inlineStr">
        <is>
          <t>Línea de Vehículo</t>
        </is>
      </c>
      <c r="C12" s="2" t="inlineStr">
        <is>
          <t>Modelos Representativos</t>
        </is>
      </c>
      <c r="D12" s="2" t="inlineStr">
        <is>
          <t>Período Principal</t>
        </is>
      </c>
      <c r="E12" s="2" t="inlineStr">
        <is>
          <t>Uso en Diagnóstico</t>
        </is>
      </c>
      <c r="F12" s="2" t="inlineStr">
        <is>
          <t>Nota</t>
        </is>
      </c>
    </row>
    <row r="13" ht="32" customHeight="1">
      <c r="A13" s="20" t="inlineStr">
        <is>
          <t>A</t>
        </is>
      </c>
      <c r="B13" s="3" t="inlineStr">
        <is>
          <t>Ford Tamaño Completo</t>
        </is>
      </c>
      <c r="C13" s="3" t="inlineStr">
        <is>
          <t>Galaxie, LTD, Custom</t>
        </is>
      </c>
      <c r="D13" s="3" t="inlineStr">
        <is>
          <t>1960s–1970s</t>
        </is>
      </c>
      <c r="E13" s="3" t="inlineStr">
        <is>
          <t>Partes compartidas con modelos F-100 de esa era</t>
        </is>
      </c>
      <c r="F13" s="3" t="inlineStr"/>
    </row>
    <row r="14" ht="32" customHeight="1">
      <c r="A14" s="21" t="inlineStr">
        <is>
          <t>F</t>
        </is>
      </c>
      <c r="B14" s="4" t="inlineStr">
        <is>
          <t>Serie F (Pickups)</t>
        </is>
      </c>
      <c r="C14" s="4" t="inlineStr">
        <is>
          <t>F-100, F-150, F-250, F-350, Ranger</t>
        </is>
      </c>
      <c r="D14" s="4" t="inlineStr">
        <is>
          <t>1950s–presente</t>
        </is>
      </c>
      <c r="E14" s="4" t="inlineStr">
        <is>
          <t>La más común en taller mexicano; número F más buscado</t>
        </is>
      </c>
      <c r="F14" s="4" t="inlineStr">
        <is>
          <t>F-150 2024 usa prefijo RL3A</t>
        </is>
      </c>
    </row>
    <row r="15" ht="32" customHeight="1">
      <c r="A15" s="20" t="inlineStr">
        <is>
          <t>Z</t>
        </is>
      </c>
      <c r="B15" s="3" t="inlineStr">
        <is>
          <t>Mustang</t>
        </is>
      </c>
      <c r="C15" s="3" t="inlineStr">
        <is>
          <t>Mustang I–VI, Shelby, Boss, Mach-E</t>
        </is>
      </c>
      <c r="D15" s="3" t="inlineStr">
        <is>
          <t>1964–presente</t>
        </is>
      </c>
      <c r="E15" s="3" t="inlineStr">
        <is>
          <t>Partes Z intercambian entre generaciones en algunos sistemas eléctricos</t>
        </is>
      </c>
      <c r="F15" s="3" t="inlineStr"/>
    </row>
    <row r="16" ht="32" customHeight="1">
      <c r="A16" s="21" t="inlineStr">
        <is>
          <t>S</t>
        </is>
      </c>
      <c r="B16" s="4" t="inlineStr">
        <is>
          <t>Thunderbird</t>
        </is>
      </c>
      <c r="C16" s="4" t="inlineStr">
        <is>
          <t>T-Bird 1955–2005</t>
        </is>
      </c>
      <c r="D16" s="4" t="inlineStr">
        <is>
          <t>1950s–2000s</t>
        </is>
      </c>
      <c r="E16" s="4" t="inlineStr">
        <is>
          <t>Baja presencia en talleres MX; coleccionistas y restauración</t>
        </is>
      </c>
      <c r="F16" s="4" t="inlineStr"/>
    </row>
    <row r="17" ht="32" customHeight="1">
      <c r="A17" s="20" t="inlineStr">
        <is>
          <t>C</t>
        </is>
      </c>
      <c r="B17" s="3" t="inlineStr">
        <is>
          <t>Falcon / Maverick</t>
        </is>
      </c>
      <c r="C17" s="3" t="inlineStr">
        <is>
          <t>Falcon, Maverick (clásico)</t>
        </is>
      </c>
      <c r="D17" s="3" t="inlineStr">
        <is>
          <t>1960s–1970s</t>
        </is>
      </c>
      <c r="E17" s="3" t="inlineStr">
        <is>
          <t>Maverick moderno usa prefijo distinto (NZ6A)</t>
        </is>
      </c>
      <c r="F17" s="3" t="inlineStr"/>
    </row>
    <row r="18" ht="32" customHeight="1">
      <c r="A18" s="21" t="inlineStr">
        <is>
          <t>P</t>
        </is>
      </c>
      <c r="B18" s="4" t="inlineStr">
        <is>
          <t>Pinto / Pony</t>
        </is>
      </c>
      <c r="C18" s="4" t="inlineStr">
        <is>
          <t>Pinto, Bobcat</t>
        </is>
      </c>
      <c r="D18" s="4" t="inlineStr">
        <is>
          <t>1970s</t>
        </is>
      </c>
      <c r="E18" s="4" t="inlineStr">
        <is>
          <t>Histórico; raramente en taller activo</t>
        </is>
      </c>
      <c r="F18" s="4" t="inlineStr"/>
    </row>
    <row r="19" ht="32" customHeight="1">
      <c r="A19" s="20" t="inlineStr">
        <is>
          <t>E</t>
        </is>
      </c>
      <c r="B19" s="3" t="inlineStr">
        <is>
          <t>Econoline / Transit</t>
        </is>
      </c>
      <c r="C19" s="3" t="inlineStr">
        <is>
          <t>E-150, E-350, Transit Connect, Transit</t>
        </is>
      </c>
      <c r="D19" s="3" t="inlineStr">
        <is>
          <t>1960s–presente</t>
        </is>
      </c>
      <c r="E19" s="3" t="inlineStr">
        <is>
          <t>Muy común en flotas y servicio; Transit moderno usa FC3A/JK3A</t>
        </is>
      </c>
      <c r="F19" s="3" t="inlineStr"/>
    </row>
    <row r="20" ht="32" customHeight="1">
      <c r="A20" s="21" t="inlineStr">
        <is>
          <t>L</t>
        </is>
      </c>
      <c r="B20" s="4" t="inlineStr">
        <is>
          <t>Lincoln</t>
        </is>
      </c>
      <c r="C20" s="4" t="inlineStr">
        <is>
          <t>Continental, Town Car, MKZ, Navigator</t>
        </is>
      </c>
      <c r="D20" s="4" t="inlineStr">
        <is>
          <t>1940s–presente</t>
        </is>
      </c>
      <c r="E20" s="4" t="inlineStr">
        <is>
          <t>Electrónica compartida con Ford en plataforma CDII; BEM módulo exclusivo</t>
        </is>
      </c>
      <c r="F20" s="4" t="inlineStr"/>
    </row>
    <row r="21" ht="32" customHeight="1">
      <c r="A21" s="20" t="inlineStr">
        <is>
          <t>M</t>
        </is>
      </c>
      <c r="B21" s="3" t="inlineStr">
        <is>
          <t>Mercury</t>
        </is>
      </c>
      <c r="C21" s="3" t="inlineStr">
        <is>
          <t>Marquis, Cougar, Grand Marquis</t>
        </is>
      </c>
      <c r="D21" s="3" t="inlineStr">
        <is>
          <t>1940s–2000s</t>
        </is>
      </c>
      <c r="E21" s="3" t="inlineStr">
        <is>
          <t>Marca descontinuada 2011; partes aún circulan en mercado de reemplazo</t>
        </is>
      </c>
      <c r="F21" s="3" t="inlineStr"/>
    </row>
    <row r="22" ht="32" customHeight="1">
      <c r="A22" s="21" t="inlineStr">
        <is>
          <t>D</t>
        </is>
      </c>
      <c r="B22" s="4" t="inlineStr">
        <is>
          <t>Ford División Comercial</t>
        </is>
      </c>
      <c r="C22" s="4" t="inlineStr">
        <is>
          <t>Camiones medianos, F-650, F-750</t>
        </is>
      </c>
      <c r="D22" s="4" t="inlineStr">
        <is>
          <t>1950s–presente</t>
        </is>
      </c>
      <c r="E22" s="4" t="inlineStr">
        <is>
          <t>Motores CAT/Cummins en versiones pre-2010; electrónica Allison en transmisión</t>
        </is>
      </c>
      <c r="F22" s="4" t="inlineStr"/>
    </row>
    <row r="23">
      <c r="A23" s="11" t="n"/>
      <c r="B23" s="11" t="n"/>
      <c r="C23" s="11" t="n"/>
      <c r="D23" s="11" t="n"/>
      <c r="E23" s="11" t="n"/>
      <c r="F23" s="11" t="n"/>
    </row>
  </sheetData>
  <mergeCells count="3">
    <mergeCell ref="A2:F2"/>
    <mergeCell ref="A11:F1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22" customWidth="1" min="1" max="1"/>
    <col width="28" customWidth="1" min="2" max="2"/>
    <col width="14" customWidth="1" min="3" max="3"/>
    <col width="14" customWidth="1" min="4" max="4"/>
    <col width="16" customWidth="1" min="5" max="5"/>
    <col width="30" customWidth="1" min="6" max="6"/>
    <col width="40" customWidth="1" min="7" max="7"/>
  </cols>
  <sheetData>
    <row r="1" ht="24" customHeight="1">
      <c r="A1" s="1" t="inlineStr">
        <is>
          <t>INGENIERÍA DE CONECTORES AUTOMOTRICES — Tipos, Especificaciones y Sistemas de Seguridad</t>
        </is>
      </c>
    </row>
    <row r="2" ht="30" customHeight="1">
      <c r="A2" s="2" t="inlineStr">
        <is>
          <t>Tipo de Conector</t>
        </is>
      </c>
      <c r="B2" s="2" t="inlineStr">
        <is>
          <t>Fabricante Principal</t>
        </is>
      </c>
      <c r="C2" s="2" t="inlineStr">
        <is>
          <t>Corriente Máx./Pin</t>
        </is>
      </c>
      <c r="D2" s="2" t="inlineStr">
        <is>
          <t>Protección IP</t>
        </is>
      </c>
      <c r="E2" s="2" t="inlineStr">
        <is>
          <t>Temperatura Max.</t>
        </is>
      </c>
      <c r="F2" s="2" t="inlineStr">
        <is>
          <t>Aplicación Típica</t>
        </is>
      </c>
      <c r="G2" s="2" t="inlineStr">
        <is>
          <t>Sistema de Seguridad</t>
        </is>
      </c>
    </row>
    <row r="3" ht="44" customHeight="1">
      <c r="A3" s="9" t="inlineStr">
        <is>
          <t>Compact/Trapez (Bosch)</t>
        </is>
      </c>
      <c r="B3" s="3" t="inlineStr">
        <is>
          <t>Bosch / TE Connectivity</t>
        </is>
      </c>
      <c r="C3" s="3" t="inlineStr">
        <is>
          <t>15 A por pin</t>
        </is>
      </c>
      <c r="D3" s="3" t="inlineStr">
        <is>
          <t>IP-X9K (lavado alta presión)</t>
        </is>
      </c>
      <c r="E3" s="3" t="inlineStr">
        <is>
          <t>125°C continuo / 150°C pico</t>
        </is>
      </c>
      <c r="F3" s="3" t="inlineStr">
        <is>
          <t>ECU motor, sensores críticos de compartimento motor</t>
        </is>
      </c>
      <c r="G3" s="3" t="inlineStr">
        <is>
          <t>TPA integrado (Terminal Position Assurance) color brillante; solo cierra con todos los pines insertados</t>
        </is>
      </c>
    </row>
    <row r="4" ht="44" customHeight="1">
      <c r="A4" s="10" t="inlineStr">
        <is>
          <t>Mini-Fit Jr. (Molex)</t>
        </is>
      </c>
      <c r="B4" s="4" t="inlineStr">
        <is>
          <t>Molex</t>
        </is>
      </c>
      <c r="C4" s="4" t="inlineStr">
        <is>
          <t>10.5 A por pin (hasta 13 A en versiones HCS)</t>
        </is>
      </c>
      <c r="D4" s="4" t="inlineStr">
        <is>
          <t>IP-XX (sin sellado estándar)</t>
        </is>
      </c>
      <c r="E4" s="4" t="inlineStr">
        <is>
          <t>105°C continuo</t>
        </is>
      </c>
      <c r="F4" s="4" t="inlineStr">
        <is>
          <t>Módulos internos, BCM, audio, pantallas, airbag</t>
        </is>
      </c>
      <c r="G4" s="4" t="inlineStr">
        <is>
          <t>Bloqueo doble: CPA (Connector Position Assurance) + TPA; clic audible en posición final</t>
        </is>
      </c>
    </row>
    <row r="5" ht="44" customHeight="1">
      <c r="A5" s="9" t="inlineStr">
        <is>
          <t>Deutsch DT/DTM</t>
        </is>
      </c>
      <c r="B5" s="3" t="inlineStr">
        <is>
          <t>TE Connectivity / Deutsch</t>
        </is>
      </c>
      <c r="C5" s="3" t="inlineStr">
        <is>
          <t>13 A (DT) / 7.5 A (DTM)</t>
        </is>
      </c>
      <c r="D5" s="3" t="inlineStr">
        <is>
          <t>IP-67 (sumergible 1m/30min)</t>
        </is>
      </c>
      <c r="E5" s="3" t="inlineStr">
        <is>
          <t>125°C</t>
        </is>
      </c>
      <c r="F5" s="3" t="inlineStr">
        <is>
          <t>Maquinaria pesada, vehículos off-road, motores marinos, buses</t>
        </is>
      </c>
      <c r="G5" s="3" t="inlineStr">
        <is>
          <t>Cuña de retención interna; sin TPA individual pero cuña bloquea todos los pines simultáneamente</t>
        </is>
      </c>
    </row>
    <row r="6" ht="44" customHeight="1">
      <c r="A6" s="10" t="inlineStr">
        <is>
          <t>Weather Pack (Delphi/Aptiv)</t>
        </is>
      </c>
      <c r="B6" s="4" t="inlineStr">
        <is>
          <t>Aptiv (antes Delphi)</t>
        </is>
      </c>
      <c r="C6" s="4" t="inlineStr">
        <is>
          <t>10 A por pin</t>
        </is>
      </c>
      <c r="D6" s="4" t="inlineStr">
        <is>
          <t>IP-67</t>
        </is>
      </c>
      <c r="E6" s="4" t="inlineStr">
        <is>
          <t>120°C</t>
        </is>
      </c>
      <c r="F6" s="4" t="inlineStr">
        <is>
          <t>Conexiones expuestas en motor: sensores O2, MAP, TPS, temperatura</t>
        </is>
      </c>
      <c r="G6" s="4" t="inlineStr">
        <is>
          <t>Sello individual por cable (grommet de caucho); clic de bloqueo simple; herramienta especial para extracción de terminales</t>
        </is>
      </c>
    </row>
    <row r="7" ht="44" customHeight="1">
      <c r="A7" s="9" t="inlineStr">
        <is>
          <t>DuraClik (Molex)</t>
        </is>
      </c>
      <c r="B7" s="3" t="inlineStr">
        <is>
          <t>Molex</t>
        </is>
      </c>
      <c r="C7" s="3" t="inlineStr">
        <is>
          <t>4 A por pin (señal)</t>
        </is>
      </c>
      <c r="D7" s="3" t="inlineStr">
        <is>
          <t>IP-67</t>
        </is>
      </c>
      <c r="E7" s="3" t="inlineStr">
        <is>
          <t>125°C</t>
        </is>
      </c>
      <c r="F7" s="3" t="inlineStr">
        <is>
          <t>Dirección electrónica EPS, leds exteriores, sensores ADAS</t>
        </is>
      </c>
      <c r="G7" s="3" t="inlineStr">
        <is>
          <t>ISL (Independent Secondary Lock) — cerrojo secundario que requiere herramienta para abrir; previene desconexión accidental en vibración</t>
        </is>
      </c>
    </row>
    <row r="8" ht="44" customHeight="1">
      <c r="A8" s="10" t="inlineStr">
        <is>
          <t>Junior Power Timer (JPT)</t>
        </is>
      </c>
      <c r="B8" s="4" t="inlineStr">
        <is>
          <t>TE Connectivity / AMP</t>
        </is>
      </c>
      <c r="C8" s="4" t="inlineStr">
        <is>
          <t>10–12 A por pin</t>
        </is>
      </c>
      <c r="D8" s="4" t="inlineStr">
        <is>
          <t>IP-54</t>
        </is>
      </c>
      <c r="E8" s="4" t="inlineStr">
        <is>
          <t>120°C</t>
        </is>
      </c>
      <c r="F8" s="4" t="inlineStr">
        <is>
          <t>Relés de potencia, módulos de control de ventiladores, alternadores</t>
        </is>
      </c>
      <c r="G8" s="4" t="inlineStr">
        <is>
          <t>Leva de bloqueo integrada; resistente a vibración hasta 30g; fácil reparación de terminales en campo</t>
        </is>
      </c>
    </row>
    <row r="9" ht="44" customHeight="1">
      <c r="A9" s="9" t="inlineStr">
        <is>
          <t>HSD (High Speed Data) FAKRA</t>
        </is>
      </c>
      <c r="B9" s="3" t="inlineStr">
        <is>
          <t>Rosenberger / TE</t>
        </is>
      </c>
      <c r="C9" s="3" t="inlineStr">
        <is>
          <t>Datos RF hasta 6 GHz</t>
        </is>
      </c>
      <c r="D9" s="3" t="inlineStr">
        <is>
          <t>IP-67</t>
        </is>
      </c>
      <c r="E9" s="3" t="inlineStr">
        <is>
          <t>105°C</t>
        </is>
      </c>
      <c r="F9" s="3" t="inlineStr">
        <is>
          <t>Antenas GPS/LTE/V2X, cámaras traseras, radar ADAS</t>
        </is>
      </c>
      <c r="G9" s="3" t="inlineStr">
        <is>
          <t>Codificación por color y clave mecánica; cada color = frecuencia de aplicación (azul=GPS, verde=LTE, amarillo=Bluetooth)</t>
        </is>
      </c>
    </row>
    <row r="10" ht="44" customHeight="1">
      <c r="A10" s="10" t="inlineStr">
        <is>
          <t>GT 150 (Sumitomo)</t>
        </is>
      </c>
      <c r="B10" s="4" t="inlineStr">
        <is>
          <t>Sumitomo Electric</t>
        </is>
      </c>
      <c r="C10" s="4" t="inlineStr">
        <is>
          <t>12–25 A por pin (alta corriente)</t>
        </is>
      </c>
      <c r="D10" s="4" t="inlineStr">
        <is>
          <t>IP-67</t>
        </is>
      </c>
      <c r="E10" s="4" t="inlineStr">
        <is>
          <t>140°C</t>
        </is>
      </c>
      <c r="F10" s="4" t="inlineStr">
        <is>
          <t>Módulos de puerta, motores de asientos, módulos EPS</t>
        </is>
      </c>
      <c r="G10" s="4" t="inlineStr">
        <is>
          <t>TPA de doble posición; verificar posición 'pre-set' antes del ensamble final; extracción con pick de 1.2 mm</t>
        </is>
      </c>
    </row>
    <row r="11" ht="44" customHeight="1">
      <c r="A11" s="9" t="inlineStr">
        <is>
          <t>MQS (Micro Quadlock System)</t>
        </is>
      </c>
      <c r="B11" s="3" t="inlineStr">
        <is>
          <t>TE / Aptiv</t>
        </is>
      </c>
      <c r="C11" s="3" t="inlineStr">
        <is>
          <t>2 A (señal digital)</t>
        </is>
      </c>
      <c r="D11" s="3" t="inlineStr">
        <is>
          <t>IP-54</t>
        </is>
      </c>
      <c r="E11" s="3" t="inlineStr">
        <is>
          <t>125°C</t>
        </is>
      </c>
      <c r="F11" s="3" t="inlineStr">
        <is>
          <t>Bus CAN, LIN, señales de sensores, comunicación entre ECUs</t>
        </is>
      </c>
      <c r="G11" s="3" t="inlineStr">
        <is>
          <t>Muy pequeño (pitch 0.8 mm); reparación requiere microscopio y herramientas de precisión; común en BMW/Audi módulos centrales</t>
        </is>
      </c>
    </row>
    <row r="12" ht="44" customHeight="1">
      <c r="A12" s="10" t="inlineStr">
        <is>
          <t>HVIL Conector (Alta Tensión)</t>
        </is>
      </c>
      <c r="B12" s="4" t="inlineStr">
        <is>
          <t>Aptiv / TE / Tyco</t>
        </is>
      </c>
      <c r="C12" s="4" t="inlineStr">
        <is>
          <t>Hasta 200 A (versiones HV)</t>
        </is>
      </c>
      <c r="D12" s="4" t="inlineStr">
        <is>
          <t>IP-67 o superior</t>
        </is>
      </c>
      <c r="E12" s="4" t="inlineStr">
        <is>
          <t>150°C</t>
        </is>
      </c>
      <c r="F12" s="4" t="inlineStr">
        <is>
          <t>Cables naranja de alta tensión en EV/PHEV/HEV</t>
        </is>
      </c>
      <c r="G12" s="4" t="inlineStr">
        <is>
          <t>Interlock de seguridad: desconexión del HVIL corta HV &lt;500ms antes de separar contactos de potencia; obligatorio por IEC/SAE</t>
        </is>
      </c>
    </row>
    <row r="14" ht="20" customHeight="1">
      <c r="A14" s="1" t="inlineStr">
        <is>
          <t>MECANISMOS DE BLOQUEO DE CONECTORES — Comparativa de Sistemas de Cierre</t>
        </is>
      </c>
    </row>
    <row r="15">
      <c r="A15" s="2" t="inlineStr">
        <is>
          <t>Mecanismo</t>
        </is>
      </c>
      <c r="B15" s="2" t="inlineStr">
        <is>
          <t>Principio de Funcionamiento</t>
        </is>
      </c>
      <c r="C15" s="2" t="inlineStr">
        <is>
          <t>Ventaja Principal</t>
        </is>
      </c>
      <c r="D15" s="2" t="inlineStr">
        <is>
          <t>Desventaja</t>
        </is>
      </c>
      <c r="E15" s="2" t="inlineStr">
        <is>
          <t>Aplicación Recomendada</t>
        </is>
      </c>
      <c r="F15" s="2" t="inlineStr">
        <is>
          <t>Fuerza de Inserción Típica</t>
        </is>
      </c>
      <c r="G15" s="2" t="inlineStr">
        <is>
          <t>Nota de Reparación</t>
        </is>
      </c>
    </row>
    <row r="16" ht="44" customHeight="1">
      <c r="A16" s="12" t="inlineStr">
        <is>
          <t>TPA (Terminal Position Assurance)</t>
        </is>
      </c>
      <c r="B16" s="3" t="inlineStr">
        <is>
          <t>Seguro plástico secundario que solo cierra si TODOS los terminales están en posición correcta</t>
        </is>
      </c>
      <c r="C16" s="3" t="inlineStr">
        <is>
          <t>Elimina 'pin back-out' — terminal retrocedido sin contacto</t>
        </is>
      </c>
      <c r="D16" s="3" t="inlineStr">
        <is>
          <t>Requiere herramienta específica para abrir en servicio</t>
        </is>
      </c>
      <c r="E16" s="3" t="inlineStr">
        <is>
          <t>Cualquier conector multi-pin en motor o transmisión</t>
        </is>
      </c>
      <c r="F16" s="3" t="inlineStr">
        <is>
          <t>N/A (es seguro, no de inserción)</t>
        </is>
      </c>
      <c r="G16" s="3" t="inlineStr">
        <is>
          <t>Si el TPA no cierra completamente = hay un terminal no insertado hasta el tope; buscar y reinsertar</t>
        </is>
      </c>
    </row>
    <row r="17" ht="44" customHeight="1">
      <c r="A17" s="13" t="inlineStr">
        <is>
          <t>CPA (Connector Position Assurance)</t>
        </is>
      </c>
      <c r="B17" s="4" t="inlineStr">
        <is>
          <t>Cierre secundario que bloquea el conector completo en posición acoplada</t>
        </is>
      </c>
      <c r="C17" s="4" t="inlineStr">
        <is>
          <t>Confirmación visual/táctil de acoplamiento total</t>
        </is>
      </c>
      <c r="D17" s="4" t="inlineStr">
        <is>
          <t>Agrega un paso extra en producción y servicio</t>
        </is>
      </c>
      <c r="E17" s="4" t="inlineStr">
        <is>
          <t>Conectores de airbag, PCM, módulos de seguridad</t>
        </is>
      </c>
      <c r="F17" s="4" t="inlineStr">
        <is>
          <t>N/A</t>
        </is>
      </c>
      <c r="G17" s="4" t="inlineStr">
        <is>
          <t>El CPA debe estar en posición bloqueada al reinstalar; un CPA abierto = conector no completamente acoplado</t>
        </is>
      </c>
    </row>
    <row r="18" ht="44" customHeight="1">
      <c r="A18" s="12" t="inlineStr">
        <is>
          <t>Bloqueo de Bayoneta</t>
        </is>
      </c>
      <c r="B18" s="3" t="inlineStr">
        <is>
          <t>Giro de 1/4 o 1/3 de vuelta para enclavar el conector en posición bloqueada</t>
        </is>
      </c>
      <c r="C18" s="3" t="inlineStr">
        <is>
          <t>Máxima resistencia a vibración; ideal para exteriores</t>
        </is>
      </c>
      <c r="D18" s="3" t="inlineStr">
        <is>
          <t>No apto para alta densidad de pines; difícil en espacios reducidos</t>
        </is>
      </c>
      <c r="E18" s="3" t="inlineStr">
        <is>
          <t>Sensores circulares: O2, temperatura, presión diferencial</t>
        </is>
      </c>
      <c r="F18" s="3" t="inlineStr">
        <is>
          <t>~5–15 N de torsión</t>
        </is>
      </c>
      <c r="G18" s="3" t="inlineStr">
        <is>
          <t>Verificar que el anillo de bloqueo esté en posición final rotada, no intermedia</t>
        </is>
      </c>
    </row>
    <row r="19" ht="44" customHeight="1">
      <c r="A19" s="13" t="inlineStr">
        <is>
          <t>Push-Pull</t>
        </is>
      </c>
      <c r="B19" s="4" t="inlineStr">
        <is>
          <t>Funda exterior deslizante activa los cierres internos al tirar (para soltar) o empujar (para bloquear)</t>
        </is>
      </c>
      <c r="C19" s="4" t="inlineStr">
        <is>
          <t>Imposible desconectar accidentalmente al tirar del cable directamente</t>
        </is>
      </c>
      <c r="D19" s="4" t="inlineStr">
        <is>
          <t>Requiere acceso a la funda exterior para soltar</t>
        </is>
      </c>
      <c r="E19" s="4" t="inlineStr">
        <is>
          <t>Conectores de alta densidad en mazo interior habitáculo</t>
        </is>
      </c>
      <c r="F19" s="4" t="inlineStr">
        <is>
          <t>~30–60 N de inserción</t>
        </is>
      </c>
      <c r="G19" s="4" t="inlineStr">
        <is>
          <t>Para soltar: tirar SOLO de la funda exterior, nunca del cable; daño permanente si se tira del cable</t>
        </is>
      </c>
    </row>
    <row r="20" ht="44" customHeight="1">
      <c r="A20" s="12" t="inlineStr">
        <is>
          <t>Bloqueo por Tornillo (M3/M4/M5)</t>
        </is>
      </c>
      <c r="B20" s="3" t="inlineStr">
        <is>
          <t>Tornillo central provee fuerza de sujeción uniforme sobre todos los pines</t>
        </is>
      </c>
      <c r="C20" s="3" t="inlineStr">
        <is>
          <t>Sellado máximo; conexión más estable disponible</t>
        </is>
      </c>
      <c r="D20" s="3" t="inlineStr">
        <is>
          <t>Tiempo de instalación/remoción mayor; riesgo de par excesivo</t>
        </is>
      </c>
      <c r="E20" s="3" t="inlineStr">
        <is>
          <t>ECU principal (PCM/ECM), conectores de 50–150 pines, módulos de transmisión</t>
        </is>
      </c>
      <c r="F20" s="3" t="inlineStr">
        <is>
          <t>Torque: 1.5–3.5 Nm según spec OEM</t>
        </is>
      </c>
      <c r="G20" s="3" t="inlineStr">
        <is>
          <t>Usar torquímetro; par excesivo deforma la carcasa plástica y rompe el sellado; par insuficiente = vibración suelta el conector</t>
        </is>
      </c>
    </row>
    <row r="21" ht="44" customHeight="1">
      <c r="A21" s="13" t="inlineStr">
        <is>
          <t>Clip de Leva (Lever Lock)</t>
        </is>
      </c>
      <c r="B21" s="4" t="inlineStr">
        <is>
          <t>Palanca de plástico multiplica la fuerza del técnico para insertar conectores de alta densidad de pines</t>
        </is>
      </c>
      <c r="C21" s="4" t="inlineStr">
        <is>
          <t>Inserta conectores de 50–150 pines con baja fuerza manual</t>
        </is>
      </c>
      <c r="D21" s="4" t="inlineStr">
        <is>
          <t>La palanca puede romperse si se fuerza fuera de alineación</t>
        </is>
      </c>
      <c r="E21" s="4" t="inlineStr">
        <is>
          <t>ECU de motor y transmisión (conector grande de 80–150 pines)</t>
        </is>
      </c>
      <c r="F21" s="4" t="inlineStr">
        <is>
          <t>~5–10 N en la palanca = 50–100 N en los pines</t>
        </is>
      </c>
      <c r="G21" s="4" t="inlineStr">
        <is>
          <t>Alinear perfectamente el conector ANTES de accionar la palanca; forzar con mala alineación = pines doblados</t>
        </is>
      </c>
    </row>
    <row r="22">
      <c r="A22" s="11" t="n"/>
      <c r="B22" s="11" t="n"/>
      <c r="C22" s="11" t="n"/>
      <c r="D22" s="11" t="n"/>
      <c r="E22" s="11" t="n"/>
      <c r="F22" s="11" t="n"/>
      <c r="G22" s="11" t="n"/>
    </row>
  </sheetData>
  <mergeCells count="2">
    <mergeCell ref="A14:G14"/>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28" customWidth="1" min="1" max="1"/>
    <col width="20" customWidth="1" min="2" max="2"/>
    <col width="20" customWidth="1" min="3" max="3"/>
    <col width="22" customWidth="1" min="4" max="4"/>
    <col width="24" customWidth="1" min="5" max="5"/>
    <col width="24" customWidth="1" min="6" max="6"/>
    <col width="28" customWidth="1" min="7" max="7"/>
  </cols>
  <sheetData>
    <row r="1" ht="24" customHeight="1">
      <c r="A1" s="1" t="inlineStr">
        <is>
          <t>COLORES DE CABLES POR FUNCIÓN — Comparativa Global SAE / DIN / JASO + Abreviaturas por Marca</t>
        </is>
      </c>
    </row>
    <row r="2" ht="30" customHeight="1">
      <c r="A2" s="2" t="inlineStr">
        <is>
          <t>Función del Circuito</t>
        </is>
      </c>
      <c r="B2" s="2" t="inlineStr">
        <is>
          <t>SAE (Norteamérica)</t>
        </is>
      </c>
      <c r="C2" s="2" t="inlineStr">
        <is>
          <t>DIN/ISO (Europa)</t>
        </is>
      </c>
      <c r="D2" s="2" t="inlineStr">
        <is>
          <t>JASO (Japón)</t>
        </is>
      </c>
      <c r="E2" s="2" t="inlineStr">
        <is>
          <t>Ford Específico</t>
        </is>
      </c>
      <c r="F2" s="2" t="inlineStr">
        <is>
          <t>GM Específico</t>
        </is>
      </c>
      <c r="G2" s="2" t="inlineStr">
        <is>
          <t>Toyota/Honda Específico</t>
        </is>
      </c>
    </row>
    <row r="3" ht="38" customHeight="1">
      <c r="A3" s="9" t="inlineStr">
        <is>
          <t>Alimentación B+ constante (KL30)</t>
        </is>
      </c>
      <c r="B3" s="3" t="inlineStr">
        <is>
          <t>Rojo (RD)</t>
        </is>
      </c>
      <c r="C3" s="3" t="inlineStr">
        <is>
          <t>Marrón (BN) o Rojo (RD)</t>
        </is>
      </c>
      <c r="D3" s="3" t="inlineStr">
        <is>
          <t>Rojo (RD)</t>
        </is>
      </c>
      <c r="E3" s="3" t="inlineStr">
        <is>
          <t>Rojo (RD) — cable 14-18 AWG</t>
        </is>
      </c>
      <c r="F3" s="3" t="inlineStr">
        <is>
          <t>Rosa (PK) o Rojo (RD)</t>
        </is>
      </c>
      <c r="G3" s="3" t="inlineStr">
        <is>
          <t>Amarillo (YL) — constante en Toyota</t>
        </is>
      </c>
    </row>
    <row r="4" ht="38" customHeight="1">
      <c r="A4" s="10" t="inlineStr">
        <is>
          <t>Tierra / Masa (GND)</t>
        </is>
      </c>
      <c r="B4" s="4" t="inlineStr">
        <is>
          <t>Negro (BK)</t>
        </is>
      </c>
      <c r="C4" s="4" t="inlineStr">
        <is>
          <t>Marrón (BN) en VW; Verde/Amarillo en tierra protectiva</t>
        </is>
      </c>
      <c r="D4" s="4" t="inlineStr">
        <is>
          <t>Blanco (WT) o Negro (BK)</t>
        </is>
      </c>
      <c r="E4" s="4" t="inlineStr">
        <is>
          <t>Negro (BK) o Gris (GY)</t>
        </is>
      </c>
      <c r="F4" s="4" t="inlineStr">
        <is>
          <t>Negro (BK)</t>
        </is>
      </c>
      <c r="G4" s="4" t="inlineStr">
        <is>
          <t>Blanco (WT) en Toyota; Negro (BK) en Honda</t>
        </is>
      </c>
    </row>
    <row r="5" ht="38" customHeight="1">
      <c r="A5" s="9" t="inlineStr">
        <is>
          <t>Señal de encendido (KL15/IGN)</t>
        </is>
      </c>
      <c r="B5" s="3" t="inlineStr">
        <is>
          <t>Amarillo (YL) o Rosa (PK)</t>
        </is>
      </c>
      <c r="C5" s="3" t="inlineStr">
        <is>
          <t>Rojo (RO) en VW; Rojo (RT) en BMW</t>
        </is>
      </c>
      <c r="D5" s="3" t="inlineStr">
        <is>
          <t>Azul (BL) o Rojo (RD)</t>
        </is>
      </c>
      <c r="E5" s="3" t="inlineStr">
        <is>
          <t>Rosa (PK) — Ford PATS/ignición</t>
        </is>
      </c>
      <c r="F5" s="3" t="inlineStr">
        <is>
          <t>Rosa (PK) o Azul claro (LB)</t>
        </is>
      </c>
      <c r="G5" s="3" t="inlineStr">
        <is>
          <t>Azul (BL) en Nissan; Naranja (OR) en Honda IGN</t>
        </is>
      </c>
    </row>
    <row r="6" ht="38" customHeight="1">
      <c r="A6" s="10" t="inlineStr">
        <is>
          <t>Señal / Datos (comunicación)</t>
        </is>
      </c>
      <c r="B6" s="4" t="inlineStr">
        <is>
          <t>Azul (BL) o Amarillo (YL)</t>
        </is>
      </c>
      <c r="C6" s="4" t="inlineStr">
        <is>
          <t>Azul (BU) o Gris (GY)</t>
        </is>
      </c>
      <c r="D6" s="4" t="inlineStr">
        <is>
          <t>Verde (GN)</t>
        </is>
      </c>
      <c r="E6" s="4" t="inlineStr">
        <is>
          <t>Azul (BL) — módulos de control</t>
        </is>
      </c>
      <c r="F6" s="4" t="inlineStr">
        <is>
          <t>Azul (BL) claro/oscuro</t>
        </is>
      </c>
      <c r="G6" s="4" t="inlineStr">
        <is>
          <t>Verde (GN) en señales CAN secundarias</t>
        </is>
      </c>
    </row>
    <row r="7" ht="38" customHeight="1">
      <c r="A7" s="9" t="inlineStr">
        <is>
          <t>Alta Tensión HV (EV/HEV)</t>
        </is>
      </c>
      <c r="B7" s="3" t="inlineStr">
        <is>
          <t>Naranja (OR) — obligatorio</t>
        </is>
      </c>
      <c r="C7" s="3" t="inlineStr">
        <is>
          <t>Naranja (OR) — obligatorio</t>
        </is>
      </c>
      <c r="D7" s="3" t="inlineStr">
        <is>
          <t>Amarillo (YL) — aunque migrando a naranja</t>
        </is>
      </c>
      <c r="E7" s="3" t="inlineStr">
        <is>
          <t>Naranja (OR) — Mach-E, F-150 Lightning</t>
        </is>
      </c>
      <c r="F7" s="3" t="inlineStr">
        <is>
          <t>Naranja (OR) — Bolt, Volt, Silverado EV</t>
        </is>
      </c>
      <c r="G7" s="3" t="inlineStr">
        <is>
          <t>Naranja (OR) — Prius, Leaf, bZ4X, Ioniq</t>
        </is>
      </c>
    </row>
    <row r="8" ht="38" customHeight="1">
      <c r="A8" s="10" t="inlineStr">
        <is>
          <t>Luz de freno</t>
        </is>
      </c>
      <c r="B8" s="4" t="inlineStr">
        <is>
          <t>Verde (GN) con traza Amarilla</t>
        </is>
      </c>
      <c r="C8" s="4" t="inlineStr">
        <is>
          <t>Verde (GN) o Rojo (RD)</t>
        </is>
      </c>
      <c r="D8" s="4" t="inlineStr">
        <is>
          <t>Verde con franja Roja o Blanca</t>
        </is>
      </c>
      <c r="E8" s="4" t="inlineStr">
        <is>
          <t>Verde claro (LG) con franja Naranja</t>
        </is>
      </c>
      <c r="F8" s="4" t="inlineStr">
        <is>
          <t>Verde claro (LG)</t>
        </is>
      </c>
      <c r="G8" s="4" t="inlineStr">
        <is>
          <t>Verde (GN) con franja Roja (Toyota) / Verde con franja Blanca (Honda)</t>
        </is>
      </c>
    </row>
    <row r="9" ht="38" customHeight="1">
      <c r="A9" s="9" t="inlineStr">
        <is>
          <t>Luz de giro / direccional izquierda</t>
        </is>
      </c>
      <c r="B9" s="3" t="inlineStr">
        <is>
          <t>Verde amarillento (LG)</t>
        </is>
      </c>
      <c r="C9" s="3" t="inlineStr">
        <is>
          <t>Amarillo (YL) en muchos OEM europeos</t>
        </is>
      </c>
      <c r="D9" s="3" t="inlineStr">
        <is>
          <t>No estandarizado por JASO; sigue OEM</t>
        </is>
      </c>
      <c r="E9" s="3" t="inlineStr">
        <is>
          <t>Verde claro (LG) con franja Naranja</t>
        </is>
      </c>
      <c r="F9" s="3" t="inlineStr">
        <is>
          <t>Verde claro (LG)</t>
        </is>
      </c>
      <c r="G9" s="3" t="inlineStr">
        <is>
          <t>Verde (GN) — lado izquierdo en Toyota</t>
        </is>
      </c>
    </row>
    <row r="10" ht="38" customHeight="1">
      <c r="A10" s="10" t="inlineStr">
        <is>
          <t>Luz de giro / direccional derecha</t>
        </is>
      </c>
      <c r="B10" s="4" t="inlineStr">
        <is>
          <t>Verde amarillento (LG) trazo diferente</t>
        </is>
      </c>
      <c r="C10" s="4" t="inlineStr">
        <is>
          <t>Amarillo (YL)</t>
        </is>
      </c>
      <c r="D10" s="4" t="inlineStr">
        <is>
          <t>No estandarizado</t>
        </is>
      </c>
      <c r="E10" s="4" t="inlineStr">
        <is>
          <t>Naranja (OG) con franja Azul — Ford específico</t>
        </is>
      </c>
      <c r="F10" s="4" t="inlineStr">
        <is>
          <t>Marrón (BR)</t>
        </is>
      </c>
      <c r="G10" s="4" t="inlineStr">
        <is>
          <t>Verde (GN) con franja diferente — lado derecho</t>
        </is>
      </c>
    </row>
    <row r="11" ht="38" customHeight="1">
      <c r="A11" s="9" t="inlineStr">
        <is>
          <t>Luces de reversa (marcha atrás)</t>
        </is>
      </c>
      <c r="B11" s="3" t="inlineStr">
        <is>
          <t>Blanco (WT) o Verde claro (LG)</t>
        </is>
      </c>
      <c r="C11" s="3" t="inlineStr">
        <is>
          <t>Blanco (WS) en BMW</t>
        </is>
      </c>
      <c r="D11" s="3" t="inlineStr">
        <is>
          <t>No estandarizado JASO</t>
        </is>
      </c>
      <c r="E11" s="3" t="inlineStr">
        <is>
          <t>Verde claro (LG)</t>
        </is>
      </c>
      <c r="F11" s="3" t="inlineStr">
        <is>
          <t>Verde claro (LG)</t>
        </is>
      </c>
      <c r="G11" s="3" t="inlineStr">
        <is>
          <t>Azul (BL) en Toyota reversa; Gris (GY) en Honda</t>
        </is>
      </c>
    </row>
    <row r="12" ht="38" customHeight="1">
      <c r="A12" s="10" t="inlineStr">
        <is>
          <t>Luces de cola / posición</t>
        </is>
      </c>
      <c r="B12" s="4" t="inlineStr">
        <is>
          <t>Marrón (BR)</t>
        </is>
      </c>
      <c r="C12" s="4" t="inlineStr">
        <is>
          <t>Rojo (RD) con traza</t>
        </is>
      </c>
      <c r="D12" s="4" t="inlineStr">
        <is>
          <t>No estandarizado</t>
        </is>
      </c>
      <c r="E12" s="4" t="inlineStr">
        <is>
          <t>Marrón (BR) o Negro con traza</t>
        </is>
      </c>
      <c r="F12" s="4" t="inlineStr">
        <is>
          <t>Marrón (BR)</t>
        </is>
      </c>
      <c r="G12" s="4" t="inlineStr">
        <is>
          <t>Rojo con franja Negra (Honda tail); Naranja en Toyota</t>
        </is>
      </c>
    </row>
    <row r="13" ht="38" customHeight="1">
      <c r="A13" s="9" t="inlineStr">
        <is>
          <t>Airbag / SRS</t>
        </is>
      </c>
      <c r="B13" s="3" t="inlineStr">
        <is>
          <t>Amarillo (YL) — protegido</t>
        </is>
      </c>
      <c r="C13" s="3" t="inlineStr">
        <is>
          <t>Amarillo (GE) — cable NO cortar con contacto</t>
        </is>
      </c>
      <c r="D13" s="3" t="inlineStr">
        <is>
          <t>Amarillo (YL)</t>
        </is>
      </c>
      <c r="E13" s="3" t="inlineStr">
        <is>
          <t>Amarillo (YL) — Ford SRS no tocar encendido puesto</t>
        </is>
      </c>
      <c r="F13" s="3" t="inlineStr">
        <is>
          <t>Amarillo (YL)</t>
        </is>
      </c>
      <c r="G13" s="3" t="inlineStr">
        <is>
          <t>Amarillo (YL) — Toyota/Honda SRS; descarga 10 min post-batería</t>
        </is>
      </c>
    </row>
    <row r="14" ht="38" customHeight="1">
      <c r="A14" s="10" t="inlineStr">
        <is>
          <t>Alimentación accesorios (KL75/ACC)</t>
        </is>
      </c>
      <c r="B14" s="4" t="inlineStr">
        <is>
          <t>Naranja (OR)</t>
        </is>
      </c>
      <c r="C14" s="4" t="inlineStr">
        <is>
          <t>Rojo con traza o Verde en algunos OEM</t>
        </is>
      </c>
      <c r="D14" s="4" t="inlineStr">
        <is>
          <t>Azul (BL) o Rojo (RD)</t>
        </is>
      </c>
      <c r="E14" s="4" t="inlineStr">
        <is>
          <t>Rojo (RD) con fusible ACC</t>
        </is>
      </c>
      <c r="F14" s="4" t="inlineStr">
        <is>
          <t>Rosa (PK) en accesorios GM</t>
        </is>
      </c>
      <c r="G14" s="4" t="inlineStr">
        <is>
          <t>Azul (BL) en Toyota ACC; Amarillo en Honda</t>
        </is>
      </c>
    </row>
    <row r="15" ht="38" customHeight="1">
      <c r="A15" s="9" t="inlineStr">
        <is>
          <t>Bocina / claxon</t>
        </is>
      </c>
      <c r="B15" s="3" t="inlineStr">
        <is>
          <t>Verde (GN) o Naranja (OR)</t>
        </is>
      </c>
      <c r="C15" s="3" t="inlineStr">
        <is>
          <t>Sin estándar universal</t>
        </is>
      </c>
      <c r="D15" s="3" t="inlineStr">
        <is>
          <t>No estandarizado JASO</t>
        </is>
      </c>
      <c r="E15" s="3" t="inlineStr">
        <is>
          <t>Verde (GN) con traza</t>
        </is>
      </c>
      <c r="F15" s="3" t="inlineStr">
        <is>
          <t>No estandarizado — verificar diagrama</t>
        </is>
      </c>
      <c r="G15" s="3" t="inlineStr">
        <is>
          <t>Verde (GN) en Toyota; Azul en Honda (bocina positivo)</t>
        </is>
      </c>
    </row>
    <row r="16" ht="38" customHeight="1">
      <c r="A16" s="10" t="inlineStr">
        <is>
          <t>Comunicación CAN-H</t>
        </is>
      </c>
      <c r="B16" s="4" t="inlineStr">
        <is>
          <t>Amarillo (YL) — según SAE J1939</t>
        </is>
      </c>
      <c r="C16" s="4" t="inlineStr">
        <is>
          <t>Naranja (OR) en J1939 industrial; sin color fijo en CAN auto</t>
        </is>
      </c>
      <c r="D16" s="4" t="inlineStr">
        <is>
          <t>Sin color fijo JASO</t>
        </is>
      </c>
      <c r="E16" s="4" t="inlineStr">
        <is>
          <t>Amarillo (YL) en OBD2 pin 6 (estándar)</t>
        </is>
      </c>
      <c r="F16" s="4" t="inlineStr">
        <is>
          <t>Amarillo (YL) CAN-H en módulos GM</t>
        </is>
      </c>
      <c r="G16" s="4" t="inlineStr">
        <is>
          <t>Sin color fijo; seguir diagrama específico del modelo</t>
        </is>
      </c>
    </row>
    <row r="17" ht="38" customHeight="1">
      <c r="A17" s="9" t="inlineStr">
        <is>
          <t>Comunicación CAN-L</t>
        </is>
      </c>
      <c r="B17" s="3" t="inlineStr">
        <is>
          <t>Verde (GN) — según SAE J1939</t>
        </is>
      </c>
      <c r="C17" s="3" t="inlineStr">
        <is>
          <t>Sin color fijo en CAN auto europeo</t>
        </is>
      </c>
      <c r="D17" s="3" t="inlineStr">
        <is>
          <t>Sin color fijo JASO</t>
        </is>
      </c>
      <c r="E17" s="3" t="inlineStr">
        <is>
          <t>Verde (GN) en OBD2 pin 14</t>
        </is>
      </c>
      <c r="F17" s="3" t="inlineStr">
        <is>
          <t>Verde (GN) CAN-L en módulos GM</t>
        </is>
      </c>
      <c r="G17" s="3" t="inlineStr">
        <is>
          <t>Sin color fijo; verificar topología de red del modelo</t>
        </is>
      </c>
    </row>
    <row r="19" ht="20" customHeight="1">
      <c r="A19" s="1" t="inlineStr">
        <is>
          <t>ABREVIATURAS DE COLORES — Ford / GM / BMW / VW / Toyota (Referencia Rápida)</t>
        </is>
      </c>
    </row>
    <row r="20">
      <c r="A20" s="2" t="inlineStr">
        <is>
          <t>Código</t>
        </is>
      </c>
      <c r="B20" s="2" t="inlineStr">
        <is>
          <t>Color (Inglés)</t>
        </is>
      </c>
      <c r="C20" s="2" t="inlineStr">
        <is>
          <t>Color (Español)</t>
        </is>
      </c>
      <c r="D20" s="2" t="inlineStr">
        <is>
          <t>Usado por</t>
        </is>
      </c>
      <c r="E20" s="2" t="inlineStr">
        <is>
          <t>Función Típica</t>
        </is>
      </c>
      <c r="F20" s="2" t="inlineStr">
        <is>
          <t>Combinación Común</t>
        </is>
      </c>
      <c r="G20" s="2" t="inlineStr">
        <is>
          <t>Ejemplo en Diagrama</t>
        </is>
      </c>
    </row>
    <row r="21" ht="36" customHeight="1">
      <c r="A21" s="5" t="inlineStr">
        <is>
          <t>BK</t>
        </is>
      </c>
      <c r="B21" s="3" t="inlineStr">
        <is>
          <t>Black</t>
        </is>
      </c>
      <c r="C21" s="3" t="inlineStr">
        <is>
          <t>Negro</t>
        </is>
      </c>
      <c r="D21" s="3" t="inlineStr">
        <is>
          <t>Ford / GM / Honda</t>
        </is>
      </c>
      <c r="E21" s="3" t="inlineStr">
        <is>
          <t>Masa (GND) — estándar Norteamérica</t>
        </is>
      </c>
      <c r="F21" s="3" t="inlineStr">
        <is>
          <t>BK/WH = negro base, traza blanca</t>
        </is>
      </c>
      <c r="G21" s="3" t="inlineStr">
        <is>
          <t>18 BK = cable 18 AWG negro masa</t>
        </is>
      </c>
    </row>
    <row r="22" ht="36" customHeight="1">
      <c r="A22" s="6" t="inlineStr">
        <is>
          <t>RD / R</t>
        </is>
      </c>
      <c r="B22" s="4" t="inlineStr">
        <is>
          <t>Red</t>
        </is>
      </c>
      <c r="C22" s="4" t="inlineStr">
        <is>
          <t>Rojo</t>
        </is>
      </c>
      <c r="D22" s="4" t="inlineStr">
        <is>
          <t>Ford / GM / SAE</t>
        </is>
      </c>
      <c r="E22" s="4" t="inlineStr">
        <is>
          <t>Alimentación positiva B+</t>
        </is>
      </c>
      <c r="F22" s="4" t="inlineStr">
        <is>
          <t>RD/YL = rojo con traza amarilla (IGN Ford)</t>
        </is>
      </c>
      <c r="G22" s="4" t="inlineStr">
        <is>
          <t>14 RD/YL = B+ encendido 14 AWG</t>
        </is>
      </c>
    </row>
    <row r="23" ht="36" customHeight="1">
      <c r="A23" s="5" t="inlineStr">
        <is>
          <t>WH / W</t>
        </is>
      </c>
      <c r="B23" s="3" t="inlineStr">
        <is>
          <t>White</t>
        </is>
      </c>
      <c r="C23" s="3" t="inlineStr">
        <is>
          <t>Blanco</t>
        </is>
      </c>
      <c r="D23" s="3" t="inlineStr">
        <is>
          <t>Toyota / Nissan / SAE</t>
        </is>
      </c>
      <c r="E23" s="3" t="inlineStr">
        <is>
          <t>Tierra en estándar japonés; señal en SAE</t>
        </is>
      </c>
      <c r="F23" s="3" t="inlineStr">
        <is>
          <t>W/R = blanco con traza roja (Toyota señal)</t>
        </is>
      </c>
      <c r="G23" s="3" t="inlineStr">
        <is>
          <t>W/B = masa en Toyota (blanco/negro)</t>
        </is>
      </c>
    </row>
    <row r="24" ht="36" customHeight="1">
      <c r="A24" s="6" t="inlineStr">
        <is>
          <t>BL / B</t>
        </is>
      </c>
      <c r="B24" s="4" t="inlineStr">
        <is>
          <t>Blue</t>
        </is>
      </c>
      <c r="C24" s="4" t="inlineStr">
        <is>
          <t>Azul</t>
        </is>
      </c>
      <c r="D24" s="4" t="inlineStr">
        <is>
          <t>Ford / Todos</t>
        </is>
      </c>
      <c r="E24" s="4" t="inlineStr">
        <is>
          <t>Señal de control / comunicación</t>
        </is>
      </c>
      <c r="F24" s="4" t="inlineStr">
        <is>
          <t>BL/RD = azul con traza roja</t>
        </is>
      </c>
      <c r="G24" s="4" t="inlineStr">
        <is>
          <t>16 BL = señal módulo 16 AWG</t>
        </is>
      </c>
    </row>
    <row r="25" ht="36" customHeight="1">
      <c r="A25" s="5" t="inlineStr">
        <is>
          <t>LB</t>
        </is>
      </c>
      <c r="B25" s="3" t="inlineStr">
        <is>
          <t>Light Blue</t>
        </is>
      </c>
      <c r="C25" s="3" t="inlineStr">
        <is>
          <t>Azul Claro</t>
        </is>
      </c>
      <c r="D25" s="3" t="inlineStr">
        <is>
          <t>Ford / GM</t>
        </is>
      </c>
      <c r="E25" s="3" t="inlineStr">
        <is>
          <t>Señales secundarias / ACC en GM</t>
        </is>
      </c>
      <c r="F25" s="3" t="inlineStr">
        <is>
          <t>LB/BK = azul claro con traza negra</t>
        </is>
      </c>
      <c r="G25" s="3" t="inlineStr">
        <is>
          <t>18 LB/BK = señal secundaria</t>
        </is>
      </c>
    </row>
    <row r="26" ht="36" customHeight="1">
      <c r="A26" s="6" t="inlineStr">
        <is>
          <t>GY / GR</t>
        </is>
      </c>
      <c r="B26" s="4" t="inlineStr">
        <is>
          <t>Gray</t>
        </is>
      </c>
      <c r="C26" s="4" t="inlineStr">
        <is>
          <t>Gris</t>
        </is>
      </c>
      <c r="D26" s="4" t="inlineStr">
        <is>
          <t>Ford / BMW / Todos</t>
        </is>
      </c>
      <c r="E26" s="4" t="inlineStr">
        <is>
          <t>Señal analógica de sensores; masa en Ford</t>
        </is>
      </c>
      <c r="F26" s="4" t="inlineStr">
        <is>
          <t>GY/BK = gris base, traza negra</t>
        </is>
      </c>
      <c r="G26" s="4" t="inlineStr">
        <is>
          <t>18 GY = TPS o MAF señal analógica</t>
        </is>
      </c>
    </row>
    <row r="27" ht="36" customHeight="1">
      <c r="A27" s="5" t="inlineStr">
        <is>
          <t>GN / G</t>
        </is>
      </c>
      <c r="B27" s="3" t="inlineStr">
        <is>
          <t>Green</t>
        </is>
      </c>
      <c r="C27" s="3" t="inlineStr">
        <is>
          <t>Verde</t>
        </is>
      </c>
      <c r="D27" s="3" t="inlineStr">
        <is>
          <t>Toyota / Honda / SAE</t>
        </is>
      </c>
      <c r="E27" s="3" t="inlineStr">
        <is>
          <t>CAN-L en J1939; frenos y reversa en OEM</t>
        </is>
      </c>
      <c r="F27" s="3" t="inlineStr">
        <is>
          <t>GN/WH = verde con traza blanca</t>
        </is>
      </c>
      <c r="G27" s="3" t="inlineStr">
        <is>
          <t>LG = light green (verde claro) Ford</t>
        </is>
      </c>
    </row>
    <row r="28" ht="36" customHeight="1">
      <c r="A28" s="6" t="inlineStr">
        <is>
          <t>YL / Y</t>
        </is>
      </c>
      <c r="B28" s="4" t="inlineStr">
        <is>
          <t>Yellow</t>
        </is>
      </c>
      <c r="C28" s="4" t="inlineStr">
        <is>
          <t>Amarillo</t>
        </is>
      </c>
      <c r="D28" s="4" t="inlineStr">
        <is>
          <t>Ford / Toyota / SAE</t>
        </is>
      </c>
      <c r="E28" s="4" t="inlineStr">
        <is>
          <t>SRS airbag; ACC en Toyota; CAN-H J1939</t>
        </is>
      </c>
      <c r="F28" s="4" t="inlineStr">
        <is>
          <t>YL/BK = amarillo con traza negra</t>
        </is>
      </c>
      <c r="G28" s="4" t="inlineStr">
        <is>
          <t>18 YL = airbag circuito / CAN-H pesado</t>
        </is>
      </c>
    </row>
    <row r="29" ht="36" customHeight="1">
      <c r="A29" s="5" t="inlineStr">
        <is>
          <t>OR / OG / O</t>
        </is>
      </c>
      <c r="B29" s="3" t="inlineStr">
        <is>
          <t>Orange</t>
        </is>
      </c>
      <c r="C29" s="3" t="inlineStr">
        <is>
          <t>Naranja</t>
        </is>
      </c>
      <c r="D29" s="3" t="inlineStr">
        <is>
          <t>Global HV / Ford / SAE</t>
        </is>
      </c>
      <c r="E29" s="3" t="inlineStr">
        <is>
          <t>Alta tensión EV/HEV — OBLIGATORIO naranja</t>
        </is>
      </c>
      <c r="F29" s="3" t="inlineStr">
        <is>
          <t>OR/BK = naranja base, marca negra</t>
        </is>
      </c>
      <c r="G29" s="3" t="inlineStr">
        <is>
          <t>OR = cable HV 400-800V; OR/BK en circuito DCFC</t>
        </is>
      </c>
    </row>
    <row r="30" ht="36" customHeight="1">
      <c r="A30" s="6" t="inlineStr">
        <is>
          <t>BR / BN</t>
        </is>
      </c>
      <c r="B30" s="4" t="inlineStr">
        <is>
          <t>Brown</t>
        </is>
      </c>
      <c r="C30" s="4" t="inlineStr">
        <is>
          <t>Marrón</t>
        </is>
      </c>
      <c r="D30" s="4" t="inlineStr">
        <is>
          <t>VW / SAE / todos</t>
        </is>
      </c>
      <c r="E30" s="4" t="inlineStr">
        <is>
          <t>Masa en DIN europeo; cola/posición en SAE</t>
        </is>
      </c>
      <c r="F30" s="4" t="inlineStr">
        <is>
          <t>BR/WH = marrón con traza blanca</t>
        </is>
      </c>
      <c r="G30" s="4" t="inlineStr">
        <is>
          <t>0.35 BR = masa señal delgada (VW)</t>
        </is>
      </c>
    </row>
    <row r="31" ht="36" customHeight="1">
      <c r="A31" s="5" t="inlineStr">
        <is>
          <t>PK</t>
        </is>
      </c>
      <c r="B31" s="3" t="inlineStr">
        <is>
          <t>Pink</t>
        </is>
      </c>
      <c r="C31" s="3" t="inlineStr">
        <is>
          <t>Rosa</t>
        </is>
      </c>
      <c r="D31" s="3" t="inlineStr">
        <is>
          <t>Ford / GM</t>
        </is>
      </c>
      <c r="E31" s="3" t="inlineStr">
        <is>
          <t>IGN switch / KL15 en Ford; ACC en GM</t>
        </is>
      </c>
      <c r="F31" s="3" t="inlineStr">
        <is>
          <t>PK/BK = rosa con traza negra</t>
        </is>
      </c>
      <c r="G31" s="3" t="inlineStr">
        <is>
          <t>18 PK = encendido switch output Ford</t>
        </is>
      </c>
    </row>
    <row r="32" ht="36" customHeight="1">
      <c r="A32" s="6" t="inlineStr">
        <is>
          <t>VT / VI</t>
        </is>
      </c>
      <c r="B32" s="4" t="inlineStr">
        <is>
          <t>Violet / Purple</t>
        </is>
      </c>
      <c r="C32" s="4" t="inlineStr">
        <is>
          <t>Violeta / Morado</t>
        </is>
      </c>
      <c r="D32" s="4" t="inlineStr">
        <is>
          <t>VW / Ford / SAE</t>
        </is>
      </c>
      <c r="E32" s="4" t="inlineStr">
        <is>
          <t>Sensor Lambda O2 en VW; señal específica</t>
        </is>
      </c>
      <c r="F32" s="4" t="inlineStr">
        <is>
          <t>VT/WH = violeta con traza blanca</t>
        </is>
      </c>
      <c r="G32" s="4" t="inlineStr">
        <is>
          <t>0.35 VI = sensor O2 heating (VW/Audi)</t>
        </is>
      </c>
    </row>
    <row r="33" ht="36" customHeight="1">
      <c r="A33" s="5" t="inlineStr">
        <is>
          <t>TN</t>
        </is>
      </c>
      <c r="B33" s="3" t="inlineStr">
        <is>
          <t>Tan / Beige</t>
        </is>
      </c>
      <c r="C33" s="3" t="inlineStr">
        <is>
          <t>Beige / Crema</t>
        </is>
      </c>
      <c r="D33" s="3" t="inlineStr">
        <is>
          <t>Ford / Chrysler</t>
        </is>
      </c>
      <c r="E33" s="3" t="inlineStr">
        <is>
          <t>Módulos de control secundarios / BCM señal</t>
        </is>
      </c>
      <c r="F33" s="3" t="inlineStr">
        <is>
          <t>TN/BK = beige con traza negra</t>
        </is>
      </c>
      <c r="G33" s="3" t="inlineStr">
        <is>
          <t>18 TN = señal BCM secundaria</t>
        </is>
      </c>
    </row>
    <row r="34" ht="36" customHeight="1">
      <c r="A34" s="6" t="inlineStr">
        <is>
          <t>DG / DB</t>
        </is>
      </c>
      <c r="B34" s="4" t="inlineStr">
        <is>
          <t>Dark Green / Dark Blue</t>
        </is>
      </c>
      <c r="C34" s="4" t="inlineStr">
        <is>
          <t>Verde Oscuro / Azul Oscuro</t>
        </is>
      </c>
      <c r="D34" s="4" t="inlineStr">
        <is>
          <t>Ford</t>
        </is>
      </c>
      <c r="E34" s="4" t="inlineStr">
        <is>
          <t>Señales digitales; diferencia de LG/LB</t>
        </is>
      </c>
      <c r="F34" s="4" t="inlineStr">
        <is>
          <t>DG/OR = verde oscuro con traza naranja</t>
        </is>
      </c>
      <c r="G34" s="4" t="inlineStr">
        <is>
          <t>18 DG = señal digital motor Ford</t>
        </is>
      </c>
    </row>
    <row r="35" ht="36" customHeight="1">
      <c r="A35" s="5" t="inlineStr">
        <is>
          <t>RT / RD</t>
        </is>
      </c>
      <c r="B35" s="3" t="inlineStr">
        <is>
          <t>Rot (Red en Alemán)</t>
        </is>
      </c>
      <c r="C35" s="3" t="inlineStr">
        <is>
          <t>Rojo</t>
        </is>
      </c>
      <c r="D35" s="3" t="inlineStr">
        <is>
          <t>BMW (WDS) / VW</t>
        </is>
      </c>
      <c r="E35" s="3" t="inlineStr">
        <is>
          <t>Alimentación en esquemas alemanes</t>
        </is>
      </c>
      <c r="F35" s="3" t="inlineStr">
        <is>
          <t>0.5 RT/SW = rojo 0.5mm² traza negra</t>
        </is>
      </c>
      <c r="G35" s="3" t="inlineStr">
        <is>
          <t>Sección mm² siempre antes del color en BMW</t>
        </is>
      </c>
    </row>
    <row r="36" ht="36" customHeight="1">
      <c r="A36" s="6" t="inlineStr">
        <is>
          <t>SW</t>
        </is>
      </c>
      <c r="B36" s="4" t="inlineStr">
        <is>
          <t>Schwarz (Black en Alemán)</t>
        </is>
      </c>
      <c r="C36" s="4" t="inlineStr">
        <is>
          <t>Negro</t>
        </is>
      </c>
      <c r="D36" s="4" t="inlineStr">
        <is>
          <t>BMW (WDS)</t>
        </is>
      </c>
      <c r="E36" s="4" t="inlineStr">
        <is>
          <t>Masa en esquemas BMW</t>
        </is>
      </c>
      <c r="F36" s="4" t="inlineStr">
        <is>
          <t>SW/WS = negro base, traza blanca</t>
        </is>
      </c>
      <c r="G36" s="4" t="inlineStr">
        <is>
          <t>1.0 SW = masa 1mm² en BMW</t>
        </is>
      </c>
    </row>
    <row r="37" ht="36" customHeight="1">
      <c r="A37" s="5" t="inlineStr">
        <is>
          <t>WS</t>
        </is>
      </c>
      <c r="B37" s="3" t="inlineStr">
        <is>
          <t>Weiss (White en Alemán)</t>
        </is>
      </c>
      <c r="C37" s="3" t="inlineStr">
        <is>
          <t>Blanco</t>
        </is>
      </c>
      <c r="D37" s="3" t="inlineStr">
        <is>
          <t>BMW (WDS)</t>
        </is>
      </c>
      <c r="E37" s="3" t="inlineStr">
        <is>
          <t>Señal de datos / referencia en bus</t>
        </is>
      </c>
      <c r="F37" s="3" t="inlineStr">
        <is>
          <t>WS/RT = blanco con traza roja</t>
        </is>
      </c>
      <c r="G37" s="3" t="inlineStr">
        <is>
          <t>0.35 WS/RT = bus LIN datos BMW</t>
        </is>
      </c>
    </row>
    <row r="38" ht="36" customHeight="1">
      <c r="A38" s="6" t="inlineStr">
        <is>
          <t>GE</t>
        </is>
      </c>
      <c r="B38" s="4" t="inlineStr">
        <is>
          <t>Gelb (Yellow en Alemán)</t>
        </is>
      </c>
      <c r="C38" s="4" t="inlineStr">
        <is>
          <t>Amarillo</t>
        </is>
      </c>
      <c r="D38" s="4" t="inlineStr">
        <is>
          <t>BMW / VW</t>
        </is>
      </c>
      <c r="E38" s="4" t="inlineStr">
        <is>
          <t>SRS/Airbag — NO TOCAR con contacto puesto</t>
        </is>
      </c>
      <c r="F38" s="4" t="inlineStr">
        <is>
          <t>GE = amarillo SRS aislado</t>
        </is>
      </c>
      <c r="G38" s="4" t="inlineStr">
        <is>
          <t>0.35 GE = SRS airbag detonador circuito</t>
        </is>
      </c>
    </row>
    <row r="39">
      <c r="A39" s="11" t="n"/>
      <c r="B39" s="11" t="n"/>
      <c r="C39" s="11" t="n"/>
      <c r="D39" s="11" t="n"/>
      <c r="E39" s="11" t="n"/>
      <c r="F39" s="11" t="n"/>
      <c r="G39" s="11" t="n"/>
    </row>
  </sheetData>
  <mergeCells count="2">
    <mergeCell ref="A19:G19"/>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17"/>
  <sheetViews>
    <sheetView showGridLines="0" workbookViewId="0">
      <selection activeCell="A1" sqref="A1"/>
    </sheetView>
  </sheetViews>
  <sheetFormatPr baseColWidth="8" defaultRowHeight="15"/>
  <cols>
    <col width="28" customWidth="1" min="1" max="1"/>
    <col width="24" customWidth="1" min="2" max="2"/>
    <col width="22" customWidth="1" min="3" max="3"/>
    <col width="22" customWidth="1" min="4" max="4"/>
    <col width="22" customWidth="1" min="5" max="5"/>
    <col width="28" customWidth="1" min="6" max="6"/>
    <col width="52" customWidth="1" min="7" max="7"/>
  </cols>
  <sheetData>
    <row r="1" ht="24" customHeight="1">
      <c r="A1" s="1" t="inlineStr">
        <is>
          <t>SENSORES AUTOMOTRICES — Pinouts, Voltajes de Referencia y Señales de Diagnóstico</t>
        </is>
      </c>
    </row>
    <row r="2" ht="30" customHeight="1">
      <c r="A2" s="2" t="inlineStr">
        <is>
          <t>Sensor</t>
        </is>
      </c>
      <c r="B2" s="2" t="inlineStr">
        <is>
          <t>Tipo</t>
        </is>
      </c>
      <c r="C2" s="2" t="inlineStr">
        <is>
          <t>Pin 1</t>
        </is>
      </c>
      <c r="D2" s="2" t="inlineStr">
        <is>
          <t>Pin 2</t>
        </is>
      </c>
      <c r="E2" s="2" t="inlineStr">
        <is>
          <t>Pin 3</t>
        </is>
      </c>
      <c r="F2" s="2" t="inlineStr">
        <is>
          <t>Pin 4 (si aplica)</t>
        </is>
      </c>
      <c r="G2" s="2" t="inlineStr">
        <is>
          <t>Señal / Voltaje / Diagnóstico</t>
        </is>
      </c>
    </row>
    <row r="3" ht="44" customHeight="1">
      <c r="A3" s="9" t="inlineStr">
        <is>
          <t>CKP — Pos. Cigüeñal (Hall)</t>
        </is>
      </c>
      <c r="B3" s="12" t="inlineStr">
        <is>
          <t>Activo digital (Hall)</t>
        </is>
      </c>
      <c r="C3" s="3" t="inlineStr">
        <is>
          <t>Alimentación 5V o 12V</t>
        </is>
      </c>
      <c r="D3" s="3" t="inlineStr">
        <is>
          <t>Señal (onda cuadrada)</t>
        </is>
      </c>
      <c r="E3" s="3" t="inlineStr">
        <is>
          <t>Tierra GND</t>
        </is>
      </c>
      <c r="F3" s="3" t="inlineStr">
        <is>
          <t>—</t>
        </is>
      </c>
      <c r="G3" s="3" t="inlineStr">
        <is>
          <t>Señal: 0V–5V onda cuadrada proporcional a RPM. Falla: sin señal = sin arranque. Verificar: 5V ref, tierra &lt;0.1Ω, señal en osciloscopio</t>
        </is>
      </c>
    </row>
    <row r="4" ht="44" customHeight="1">
      <c r="A4" s="10" t="inlineStr">
        <is>
          <t>CMP — Pos. Árbol de Levas (Hall)</t>
        </is>
      </c>
      <c r="B4" s="13" t="inlineStr">
        <is>
          <t>Activo digital (Hall)</t>
        </is>
      </c>
      <c r="C4" s="4" t="inlineStr">
        <is>
          <t>Alimentación 5V o 12V</t>
        </is>
      </c>
      <c r="D4" s="4" t="inlineStr">
        <is>
          <t>Señal (onda cuadrada)</t>
        </is>
      </c>
      <c r="E4" s="4" t="inlineStr">
        <is>
          <t>Tierra GND</t>
        </is>
      </c>
      <c r="F4" s="4" t="inlineStr">
        <is>
          <t>—</t>
        </is>
      </c>
      <c r="G4" s="4" t="inlineStr">
        <is>
          <t>Similar a CKP pero con 1 pulso por revolución (árbol de levas gira 1/2 cigüeñal). Diagnóstico de sincronía frente a CKP</t>
        </is>
      </c>
    </row>
    <row r="5" ht="44" customHeight="1">
      <c r="A5" s="9" t="inlineStr">
        <is>
          <t>CKP — Pos. Cigüeñal (Inductivo)</t>
        </is>
      </c>
      <c r="B5" s="12" t="inlineStr">
        <is>
          <t>Pasivo inductivo (VR)</t>
        </is>
      </c>
      <c r="C5" s="3" t="inlineStr">
        <is>
          <t>Señal AC (+)</t>
        </is>
      </c>
      <c r="D5" s="3" t="inlineStr">
        <is>
          <t>Señal AC (–) / Tierra</t>
        </is>
      </c>
      <c r="E5" s="3" t="inlineStr">
        <is>
          <t>Blindaje (masa en 1 extremo)</t>
        </is>
      </c>
      <c r="F5" s="3" t="inlineStr">
        <is>
          <t>—</t>
        </is>
      </c>
      <c r="G5" s="3" t="inlineStr">
        <is>
          <t>Genera AC variable: 0.5V a baja RPM → 20–50V en alta. Resistencia bobina: 800–1200 Ω. Sin blindaje correcto = señal ruidosa → misfire falso</t>
        </is>
      </c>
    </row>
    <row r="6" ht="44" customHeight="1">
      <c r="A6" s="10" t="inlineStr">
        <is>
          <t>ECT — Temp. Refrigerante (NTC)</t>
        </is>
      </c>
      <c r="B6" s="13" t="inlineStr">
        <is>
          <t>Pasivo resistivo (NTC)</t>
        </is>
      </c>
      <c r="C6" s="4" t="inlineStr">
        <is>
          <t>Referencia 5V (desde ECU)</t>
        </is>
      </c>
      <c r="D6" s="4" t="inlineStr">
        <is>
          <t>Señal (voltaje divisor)</t>
        </is>
      </c>
      <c r="E6" s="4" t="inlineStr">
        <is>
          <t>—</t>
        </is>
      </c>
      <c r="F6" s="4" t="inlineStr">
        <is>
          <t>—</t>
        </is>
      </c>
      <c r="G6" s="4" t="inlineStr">
        <is>
          <t>Frío (-20°C): ~4.5V / 3–4 kΩ. Ralentí (90°C): ~0.6V / 200–300 Ω. Motor hot (110°C): ~0.3V. Circuito abierto = 5V constante (DTC P0116)</t>
        </is>
      </c>
    </row>
    <row r="7" ht="44" customHeight="1">
      <c r="A7" s="9" t="inlineStr">
        <is>
          <t>IAT — Temp. Aire Admisión (NTC)</t>
        </is>
      </c>
      <c r="B7" s="12" t="inlineStr">
        <is>
          <t>Pasivo resistivo (NTC)</t>
        </is>
      </c>
      <c r="C7" s="3" t="inlineStr">
        <is>
          <t>Referencia 5V (desde ECU)</t>
        </is>
      </c>
      <c r="D7" s="3" t="inlineStr">
        <is>
          <t>Señal (voltaje divisor)</t>
        </is>
      </c>
      <c r="E7" s="3" t="inlineStr">
        <is>
          <t>—</t>
        </is>
      </c>
      <c r="F7" s="3" t="inlineStr">
        <is>
          <t>—</t>
        </is>
      </c>
      <c r="G7" s="3" t="inlineStr">
        <is>
          <t>Mismo principio NTC que ECT. Frío: alta resistencia / voltaje alto. Caliente: baja resistencia / voltaje bajo. Rango: -40°C a 120°C</t>
        </is>
      </c>
    </row>
    <row r="8" ht="44" customHeight="1">
      <c r="A8" s="10" t="inlineStr">
        <is>
          <t>MAP — Presión Múltiple Admisión</t>
        </is>
      </c>
      <c r="B8" s="13" t="inlineStr">
        <is>
          <t>Activo (MEMS piezoresistivo)</t>
        </is>
      </c>
      <c r="C8" s="4" t="inlineStr">
        <is>
          <t>Referencia 5V</t>
        </is>
      </c>
      <c r="D8" s="4" t="inlineStr">
        <is>
          <t>Señal (voltaje analógico)</t>
        </is>
      </c>
      <c r="E8" s="4" t="inlineStr">
        <is>
          <t>Tierra GND</t>
        </is>
      </c>
      <c r="F8" s="4" t="inlineStr">
        <is>
          <t>—</t>
        </is>
      </c>
      <c r="G8" s="4" t="inlineStr">
        <is>
          <t>Vacío completo (~0 kPa): 0.5V. Presión atmosférica (100 kPa): ~4.5V. Sobrealimentación: &gt;4.5V. Corto a GND = DTC P0107; corto a 5V = DTC P0108</t>
        </is>
      </c>
    </row>
    <row r="9" ht="44" customHeight="1">
      <c r="A9" s="9" t="inlineStr">
        <is>
          <t>TPS — Posición Mariposa</t>
        </is>
      </c>
      <c r="B9" s="12" t="inlineStr">
        <is>
          <t>Activo potenciómetro</t>
        </is>
      </c>
      <c r="C9" s="3" t="inlineStr">
        <is>
          <t>Referencia 5V</t>
        </is>
      </c>
      <c r="D9" s="3" t="inlineStr">
        <is>
          <t>Señal (voltaje analógico)</t>
        </is>
      </c>
      <c r="E9" s="3" t="inlineStr">
        <is>
          <t>Tierra GND</t>
        </is>
      </c>
      <c r="F9" s="3" t="inlineStr">
        <is>
          <t>—</t>
        </is>
      </c>
      <c r="G9" s="3" t="inlineStr">
        <is>
          <t>Mariposa cerrada: 0.5V. WOT (aceleración plena): 4.5V. Señal sucia/escalones = potenciómetro desgastado. Algunos modelos 2010+ usan TPS dual (seguridad)</t>
        </is>
      </c>
    </row>
    <row r="10" ht="44" customHeight="1">
      <c r="A10" s="10" t="inlineStr">
        <is>
          <t>TP (TPS Dual — Drive by Wire)</t>
        </is>
      </c>
      <c r="B10" s="13" t="inlineStr">
        <is>
          <t>Activo potenciómetro dual</t>
        </is>
      </c>
      <c r="C10" s="4" t="inlineStr">
        <is>
          <t>Referencia 5V (sensor 1)</t>
        </is>
      </c>
      <c r="D10" s="4" t="inlineStr">
        <is>
          <t>Señal 1 (TP1)</t>
        </is>
      </c>
      <c r="E10" s="4" t="inlineStr">
        <is>
          <t>Señal 2 (TP2 — opuesta)</t>
        </is>
      </c>
      <c r="F10" s="4" t="inlineStr">
        <is>
          <t>Referencia 5V (sensor 2) o Tierra</t>
        </is>
      </c>
      <c r="G10" s="4" t="inlineStr">
        <is>
          <t>TP1 sube de 0.5V a 4.5V; TP2 baja de 4.5V a 0.5V simultáneamente. Si TP1+TP2 ≠ 5V = señal no coherente → DTC P2135 (pérdida de control acelerador)</t>
        </is>
      </c>
    </row>
    <row r="11" ht="44" customHeight="1">
      <c r="A11" s="9" t="inlineStr">
        <is>
          <t>MAF — Flujo de Masa de Aire (hilo caliente)</t>
        </is>
      </c>
      <c r="B11" s="12" t="inlineStr">
        <is>
          <t>Activo (hilo caliente o película)</t>
        </is>
      </c>
      <c r="C11" s="3" t="inlineStr">
        <is>
          <t>Alimentación 12V</t>
        </is>
      </c>
      <c r="D11" s="3" t="inlineStr">
        <is>
          <t>Tierra GND</t>
        </is>
      </c>
      <c r="E11" s="3" t="inlineStr">
        <is>
          <t>Señal (voltaje analógico 0–5V)</t>
        </is>
      </c>
      <c r="F11" s="3" t="inlineStr">
        <is>
          <t>Señal frecuencia en tipo digital</t>
        </is>
      </c>
      <c r="G11" s="3" t="inlineStr">
        <is>
          <t>Ralentí: ~0.8–1.0V (hilo caliente) o ~25 Hz (tipo frecuencia). Plena carga: ~4.5V o ~150 Hz. Hilo sucio = lectura baja → mezcla pobre → P0101</t>
        </is>
      </c>
    </row>
    <row r="12" ht="44" customHeight="1">
      <c r="A12" s="10" t="inlineStr">
        <is>
          <t>O2 Narrowband (Zirconia)</t>
        </is>
      </c>
      <c r="B12" s="13" t="inlineStr">
        <is>
          <t>Activo con calentador (4 hilos)</t>
        </is>
      </c>
      <c r="C12" s="4" t="inlineStr">
        <is>
          <t>Calentador (+) — 12V KL15</t>
        </is>
      </c>
      <c r="D12" s="4" t="inlineStr">
        <is>
          <t>Calentador (–) — masa</t>
        </is>
      </c>
      <c r="E12" s="4" t="inlineStr">
        <is>
          <t>Señal O2 (+)</t>
        </is>
      </c>
      <c r="F12" s="4" t="inlineStr">
        <is>
          <t>Señal O2 (–) o Tierra</t>
        </is>
      </c>
      <c r="G12" s="4" t="inlineStr">
        <is>
          <t>Mezcla rica: 0.7–0.9V. Mezcla pobre: 0.1–0.3V. En λ=1: oscila 0.1–0.9V con frecuencia 0.5–2 Hz. Sensor lento/plano = catalizador o sensor degradado → P0420/P0136</t>
        </is>
      </c>
    </row>
    <row r="13" ht="44" customHeight="1">
      <c r="A13" s="9" t="inlineStr">
        <is>
          <t>O2 Wideband LSU 4.9 (Bosch)</t>
        </is>
      </c>
      <c r="B13" s="12" t="inlineStr">
        <is>
          <t>Activo con celda de bomba</t>
        </is>
      </c>
      <c r="C13" s="3" t="inlineStr">
        <is>
          <t>Calentador (+)</t>
        </is>
      </c>
      <c r="D13" s="3" t="inlineStr">
        <is>
          <t>Calentador (–)</t>
        </is>
      </c>
      <c r="E13" s="3" t="inlineStr">
        <is>
          <t>Nernst cell (Vm)</t>
        </is>
      </c>
      <c r="F13" s="3" t="inlineStr">
        <is>
          <t>Pump current IP (–)</t>
        </is>
      </c>
      <c r="G13" s="3" t="inlineStr">
        <is>
          <t>Vm (celda Nernst): ~450 mV en λ=1. IP (corriente bomba): 0 mA en λ=1, +8 mA (pobre), -8 mA (rico). Requiere controlador lambda (CJ125/CJ135) o wideband externo para lectura correcta</t>
        </is>
      </c>
    </row>
    <row r="14" ht="44" customHeight="1">
      <c r="A14" s="10" t="inlineStr">
        <is>
          <t>Knock / Detonación (piezoelectrico)</t>
        </is>
      </c>
      <c r="B14" s="13" t="inlineStr">
        <is>
          <t>Pasivo piezoeléctrico</t>
        </is>
      </c>
      <c r="C14" s="4" t="inlineStr">
        <is>
          <t>Señal sinusoidal (+)</t>
        </is>
      </c>
      <c r="D14" s="4" t="inlineStr">
        <is>
          <t>Tierra / blindaje</t>
        </is>
      </c>
      <c r="E14" s="4" t="inlineStr">
        <is>
          <t>—</t>
        </is>
      </c>
      <c r="F14" s="4" t="inlineStr">
        <is>
          <t>—</t>
        </is>
      </c>
      <c r="G14" s="4" t="inlineStr">
        <is>
          <t>Sin detonación: señal de ruido base ±0.1V. Detonación: pico ±0.5–2V en 6–8 kHz. ECU retarda encendido al detectar. Blindaje OBLIGATORIO; sin él = falsos positivos → encendido retardado permanente → consumo alto</t>
        </is>
      </c>
    </row>
    <row r="15" ht="44" customHeight="1">
      <c r="A15" s="9" t="inlineStr">
        <is>
          <t>ABS — Velocidad de Rueda (Hall activo)</t>
        </is>
      </c>
      <c r="B15" s="12" t="inlineStr">
        <is>
          <t>Activo digital (Hall)</t>
        </is>
      </c>
      <c r="C15" s="3" t="inlineStr">
        <is>
          <t>Alimentación 12V (desde ABS ECU)</t>
        </is>
      </c>
      <c r="D15" s="3" t="inlineStr">
        <is>
          <t>Señal (onda cuadrada/frecuencia)</t>
        </is>
      </c>
      <c r="E15" s="3" t="inlineStr">
        <is>
          <t>Tierra GND</t>
        </is>
      </c>
      <c r="F15" s="3" t="inlineStr">
        <is>
          <t>—</t>
        </is>
      </c>
      <c r="G15" s="3" t="inlineStr">
        <is>
          <t>Señal proporcional a velocidad: 0V parado → PWM variable en movimiento. Frecuencia típica 0–2000 Hz. Verificar air gap rueda fónica: 0.5–1.5 mm máximo</t>
        </is>
      </c>
    </row>
    <row r="16" ht="44" customHeight="1">
      <c r="A16" s="10" t="inlineStr">
        <is>
          <t>Presión Rail Combustible (GDI/TDI)</t>
        </is>
      </c>
      <c r="B16" s="13" t="inlineStr">
        <is>
          <t>Activo (MEMS piezoresistivo)</t>
        </is>
      </c>
      <c r="C16" s="4" t="inlineStr">
        <is>
          <t>Referencia 5V</t>
        </is>
      </c>
      <c r="D16" s="4" t="inlineStr">
        <is>
          <t>Señal (voltaje analógico)</t>
        </is>
      </c>
      <c r="E16" s="4" t="inlineStr">
        <is>
          <t>Tierra GND</t>
        </is>
      </c>
      <c r="F16" s="4" t="inlineStr">
        <is>
          <t>—</t>
        </is>
      </c>
      <c r="G16" s="4" t="inlineStr">
        <is>
          <t>0.5V = 0 bar / sin presión. 4.5V = presión máxima (350 bar GDI gasolina / 2200 bar Common Rail diesel). Falla abierta = DTC P0191; corto = P0192/P0193</t>
        </is>
      </c>
    </row>
    <row r="17" ht="44" customHeight="1">
      <c r="A17" s="9" t="inlineStr">
        <is>
          <t>Posición Pedal Acelerador (APP)</t>
        </is>
      </c>
      <c r="B17" s="12" t="inlineStr">
        <is>
          <t>Activo potenciómetro dual (seguridad)</t>
        </is>
      </c>
      <c r="C17" s="3" t="inlineStr">
        <is>
          <t>Referencia 5V (APP1)</t>
        </is>
      </c>
      <c r="D17" s="3" t="inlineStr">
        <is>
          <t>Señal APP1</t>
        </is>
      </c>
      <c r="E17" s="3" t="inlineStr">
        <is>
          <t>Tierra APP1</t>
        </is>
      </c>
      <c r="F17" s="3" t="inlineStr">
        <is>
          <t>Referencia 5V (APP2) / Señal APP2 / Tierra APP2</t>
        </is>
      </c>
      <c r="G17" s="3" t="inlineStr">
        <is>
          <t>APP1 y APP2 son redundantes. APP1: 0.5V–2.3V. APP2: 0.25V–1.15V (exactamente la mitad). Ratio APP1:APP2 siempre ~2:1; desviación → DTC P2138 → limp mode</t>
        </is>
      </c>
    </row>
  </sheetData>
  <mergeCells count="1">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4"/>
  <sheetViews>
    <sheetView showGridLines="0" workbookViewId="0">
      <selection activeCell="A1" sqref="A1"/>
    </sheetView>
  </sheetViews>
  <sheetFormatPr baseColWidth="8" defaultRowHeight="15"/>
  <cols>
    <col width="14" customWidth="1" min="1" max="1"/>
    <col width="22" customWidth="1" min="2" max="2"/>
    <col width="30" customWidth="1" min="3" max="3"/>
    <col width="20" customWidth="1" min="4" max="4"/>
    <col width="36" customWidth="1" min="5" max="5"/>
    <col width="32" customWidth="1" min="6" max="6"/>
    <col width="38" customWidth="1" min="7" max="7"/>
  </cols>
  <sheetData>
    <row r="1" ht="24" customHeight="1">
      <c r="A1" s="1" t="inlineStr">
        <is>
          <t>FUSIBLES Y RELEVADORES — Especificaciones, Colores y Diagnóstico DIN 72552</t>
        </is>
      </c>
    </row>
    <row r="2" ht="20" customHeight="1">
      <c r="A2" s="1" t="inlineStr">
        <is>
          <t>FUSIBLES DE CUCHILLA (BLADE TYPE) — Clasificación por Color y Amperaje</t>
        </is>
      </c>
    </row>
    <row r="3" ht="30" customHeight="1">
      <c r="A3" s="2" t="inlineStr">
        <is>
          <t>Color Fusible</t>
        </is>
      </c>
      <c r="B3" s="2" t="inlineStr">
        <is>
          <t>Amperaje (A)</t>
        </is>
      </c>
      <c r="C3" s="2" t="inlineStr">
        <is>
          <t>Tamaño Físico</t>
        </is>
      </c>
      <c r="D3" s="2" t="inlineStr">
        <is>
          <t>Aplicaciones Típicas</t>
        </is>
      </c>
      <c r="E3" s="2" t="inlineStr">
        <is>
          <t>Riesgo si se Excede</t>
        </is>
      </c>
      <c r="F3" s="2" t="inlineStr">
        <is>
          <t>Dónde Encontrarlos</t>
        </is>
      </c>
      <c r="G3" s="2" t="inlineStr">
        <is>
          <t>Nota de Diagnóstico</t>
        </is>
      </c>
    </row>
    <row r="4" ht="42" customHeight="1">
      <c r="A4" s="16" t="inlineStr">
        <is>
          <t>Gris</t>
        </is>
      </c>
      <c r="B4" s="22" t="inlineStr">
        <is>
          <t>2 A</t>
        </is>
      </c>
      <c r="C4" s="3" t="inlineStr">
        <is>
          <t>Micro2 / Micro3</t>
        </is>
      </c>
      <c r="D4" s="3" t="inlineStr">
        <is>
          <t>Sensores delicados, circuitos de memoria EEPROM, relojes</t>
        </is>
      </c>
      <c r="E4" s="3" t="inlineStr">
        <is>
          <t>Daño permanente a sensor o ECU por sobrecorriente mínima</t>
        </is>
      </c>
      <c r="F4" s="3" t="inlineStr">
        <is>
          <t>Caja fusibles habitáculo — posiciones de control de módulos</t>
        </is>
      </c>
      <c r="G4" s="3" t="inlineStr">
        <is>
          <t>Un fusible de 2A que se funde repetidamente = cortocircuito directo en el sensor; medir resistencia del circuito antes de sustituir</t>
        </is>
      </c>
    </row>
    <row r="5" ht="42" customHeight="1">
      <c r="A5" s="17" t="inlineStr">
        <is>
          <t>Violeta</t>
        </is>
      </c>
      <c r="B5" s="23" t="inlineStr">
        <is>
          <t>3 A</t>
        </is>
      </c>
      <c r="C5" s="4" t="inlineStr">
        <is>
          <t>Micro2 / Mini</t>
        </is>
      </c>
      <c r="D5" s="4" t="inlineStr">
        <is>
          <t>Módulos de control de baja potencia, iluminación de cortesía LED</t>
        </is>
      </c>
      <c r="E5" s="4" t="inlineStr">
        <is>
          <t>Quema traza PCB de módulo si se pone fusible mayor</t>
        </is>
      </c>
      <c r="F5" s="4" t="inlineStr">
        <is>
          <t>Caja habitáculo — circuitos de control BCM</t>
        </is>
      </c>
      <c r="G5" s="4" t="inlineStr">
        <is>
          <t>No sustituir 3A por 5A aunque 'no haya 3A'; el circuito está diseñado para el amperaje exacto</t>
        </is>
      </c>
    </row>
    <row r="6" ht="42" customHeight="1">
      <c r="A6" s="16" t="inlineStr">
        <is>
          <t>Tan / Beige</t>
        </is>
      </c>
      <c r="B6" s="22" t="inlineStr">
        <is>
          <t>5 A</t>
        </is>
      </c>
      <c r="C6" s="3" t="inlineStr">
        <is>
          <t>Mini / Regular ATO</t>
        </is>
      </c>
      <c r="D6" s="3" t="inlineStr">
        <is>
          <t>Tablero instrumentos, luces de cortesía, bocina, señales de control</t>
        </is>
      </c>
      <c r="E6" s="3" t="inlineStr">
        <is>
          <t>Incendio en mazo si se pone 15A o mayor</t>
        </is>
      </c>
      <c r="F6" s="3" t="inlineStr">
        <is>
          <t>Caja habitáculo y caja motor — circuitos de instrumentos</t>
        </is>
      </c>
      <c r="G6" s="3" t="inlineStr">
        <is>
          <t>Verificar primero la carga (luces led, sensores) antes de cambiar el fusible; buscar cortocircuito a tierra</t>
        </is>
      </c>
    </row>
    <row r="7" ht="42" customHeight="1">
      <c r="A7" s="17" t="inlineStr">
        <is>
          <t>Marrón</t>
        </is>
      </c>
      <c r="B7" s="23" t="inlineStr">
        <is>
          <t>7.5 A</t>
        </is>
      </c>
      <c r="C7" s="4" t="inlineStr">
        <is>
          <t>Mini / Regular ATO</t>
        </is>
      </c>
      <c r="D7" s="4" t="inlineStr">
        <is>
          <t>Bobinas de relevadores, sistemas de gestión motor (señales ECU)</t>
        </is>
      </c>
      <c r="E7" s="4" t="inlineStr">
        <is>
          <t>Riesgo de daño a ECU si hay sobrecorriente en señal</t>
        </is>
      </c>
      <c r="F7" s="4" t="inlineStr">
        <is>
          <t>Caja motor — relés y ECU circuitos de control</t>
        </is>
      </c>
      <c r="G7" s="4" t="inlineStr">
        <is>
          <t>Las bobinas de relé consumen ~0.3–0.5A; fusible de 7.5A protege 15–20 relés en paralelo</t>
        </is>
      </c>
    </row>
    <row r="8" ht="42" customHeight="1">
      <c r="A8" s="16" t="inlineStr">
        <is>
          <t>Rojo</t>
        </is>
      </c>
      <c r="B8" s="22" t="inlineStr">
        <is>
          <t>10 A</t>
        </is>
      </c>
      <c r="C8" s="3" t="inlineStr">
        <is>
          <t>Mini / Regular ATO</t>
        </is>
      </c>
      <c r="D8" s="3" t="inlineStr">
        <is>
          <t>Inyectores de combustible, luces de freno, módulo de encendido</t>
        </is>
      </c>
      <c r="E8" s="3" t="inlineStr">
        <is>
          <t>Derretimiento de mazo en circuito de inyectores si se excede</t>
        </is>
      </c>
      <c r="F8" s="3" t="inlineStr">
        <is>
          <t>Caja motor — inyección y frenos</t>
        </is>
      </c>
      <c r="G8" s="3" t="inlineStr">
        <is>
          <t>Fusible de inyectores que se funde = cortocircuito en inyector o cableado; medir resistencia de cada inyector (12–16 Ω solenoides / &gt;1MΩ piezoeléctricos)</t>
        </is>
      </c>
    </row>
    <row r="9" ht="42" customHeight="1">
      <c r="A9" s="17" t="inlineStr">
        <is>
          <t>Azul</t>
        </is>
      </c>
      <c r="B9" s="23" t="inlineStr">
        <is>
          <t>15 A</t>
        </is>
      </c>
      <c r="C9" s="4" t="inlineStr">
        <is>
          <t>Mini / Regular ATO</t>
        </is>
      </c>
      <c r="D9" s="4" t="inlineStr">
        <is>
          <t>Bombas de combustible, limpiaparabrisas, sistema de ABS</t>
        </is>
      </c>
      <c r="E9" s="4" t="inlineStr">
        <is>
          <t>Riesgo de incendio en motor de bomba o limpias</t>
        </is>
      </c>
      <c r="F9" s="4" t="inlineStr">
        <is>
          <t>Caja motor y habitáculo — cargas medianas</t>
        </is>
      </c>
      <c r="G9" s="4" t="inlineStr">
        <is>
          <t>Bomba combustible consume 5–8A en operación normal; pico de arranque hasta 12A; fusible de 15A es correcto</t>
        </is>
      </c>
    </row>
    <row r="10" ht="42" customHeight="1">
      <c r="A10" s="16" t="inlineStr">
        <is>
          <t>Amarillo</t>
        </is>
      </c>
      <c r="B10" s="22" t="inlineStr">
        <is>
          <t>20 A</t>
        </is>
      </c>
      <c r="C10" s="3" t="inlineStr">
        <is>
          <t>Regular ATO / Maxi</t>
        </is>
      </c>
      <c r="D10" s="3" t="inlineStr">
        <is>
          <t>Encendedor cigarros, ventanas eléctricas, asientos eléctricos</t>
        </is>
      </c>
      <c r="E10" s="3" t="inlineStr">
        <is>
          <t>Quemado de motor de ventana o cableado de ventana</t>
        </is>
      </c>
      <c r="F10" s="3" t="inlineStr">
        <is>
          <t>Caja motor y habitáculo — motores de confort</t>
        </is>
      </c>
      <c r="G10" s="3" t="inlineStr">
        <is>
          <t>Motor de ventana atascado puede absorber 25–30A; se funde el fusible de 20A — es correcto; limpiar guías antes de poner fusible nuevo</t>
        </is>
      </c>
    </row>
    <row r="11" ht="42" customHeight="1">
      <c r="A11" s="17" t="inlineStr">
        <is>
          <t>Verde</t>
        </is>
      </c>
      <c r="B11" s="23" t="inlineStr">
        <is>
          <t>30 A</t>
        </is>
      </c>
      <c r="C11" s="4" t="inlineStr">
        <is>
          <t>Regular ATO / Maxi</t>
        </is>
      </c>
      <c r="D11" s="4" t="inlineStr">
        <is>
          <t>Ventiladores de radiador, sistemas de audio de potencia, luneta térmica</t>
        </is>
      </c>
      <c r="E11" s="4" t="inlineStr">
        <is>
          <t>Incendio en motor de ventilador o amplificador de audio</t>
        </is>
      </c>
      <c r="F11" s="4" t="inlineStr">
        <is>
          <t>Caja motor — cargas altas</t>
        </is>
      </c>
      <c r="G11" s="4" t="inlineStr">
        <is>
          <t>Ventilador de alta velocidad: 15–25A. Fusible de 30A cubre pico de arranque. Si se funde en operación = motor ventilador en corto o sobrecarga mecánica</t>
        </is>
      </c>
    </row>
    <row r="12" ht="42" customHeight="1">
      <c r="A12" s="16" t="inlineStr">
        <is>
          <t>Naranja</t>
        </is>
      </c>
      <c r="B12" s="22" t="inlineStr">
        <is>
          <t>40 A</t>
        </is>
      </c>
      <c r="C12" s="3" t="inlineStr">
        <is>
          <t>Maxi</t>
        </is>
      </c>
      <c r="D12" s="3" t="inlineStr">
        <is>
          <t>Alternadores, ventiladores principales de alta potencia, ABS pump</t>
        </is>
      </c>
      <c r="E12" s="3" t="inlineStr">
        <is>
          <t>Falla catastrófica en alternador o mazo principal si se excede con fusible mayor</t>
        </is>
      </c>
      <c r="F12" s="3" t="inlineStr">
        <is>
          <t>Caja fusibles bajo cofre — circuito principal</t>
        </is>
      </c>
      <c r="G12" s="3" t="inlineStr">
        <is>
          <t>El fusible del alternador protege contra cortocircuito en el cable de carga B+ (alto amperaje); verificar diodo rectificador alternador si se funde</t>
        </is>
      </c>
    </row>
    <row r="13" ht="42" customHeight="1">
      <c r="A13" s="17" t="inlineStr">
        <is>
          <t>Rosa / Rojo claro</t>
        </is>
      </c>
      <c r="B13" s="23" t="inlineStr">
        <is>
          <t>50–60 A</t>
        </is>
      </c>
      <c r="C13" s="4" t="inlineStr">
        <is>
          <t>Maxi / Mega</t>
        </is>
      </c>
      <c r="D13" s="4" t="inlineStr">
        <is>
          <t>Cables de carga principal, módulos de distribución de alta corriente</t>
        </is>
      </c>
      <c r="E13" s="4" t="inlineStr">
        <is>
          <t>Daño masivo al cableado principal si se excede</t>
        </is>
      </c>
      <c r="F13" s="4" t="inlineStr">
        <is>
          <t>Caja bajo cofre — cableado B+ hacia distribución</t>
        </is>
      </c>
      <c r="G13" s="4" t="inlineStr">
        <is>
          <t>Nunca sustituir Maxi con unión de cables; el fusible Maxi protege todo el sub-arbol de distribución</t>
        </is>
      </c>
    </row>
    <row r="14" ht="42" customHeight="1">
      <c r="A14" s="16" t="inlineStr">
        <is>
          <t>Negro / Transparente</t>
        </is>
      </c>
      <c r="B14" s="22" t="inlineStr">
        <is>
          <t>100–150 A</t>
        </is>
      </c>
      <c r="C14" s="3" t="inlineStr">
        <is>
          <t>Mega / ANL</t>
        </is>
      </c>
      <c r="D14" s="3" t="inlineStr">
        <is>
          <t>Cable de batería a caja fusibles principal, motores de arranque industriales</t>
        </is>
      </c>
      <c r="E14" s="3" t="inlineStr">
        <is>
          <t>Incendio total del vehículo si se excede</t>
        </is>
      </c>
      <c r="F14" s="3" t="inlineStr">
        <is>
          <t>Entre batería y caja de distribución principal</t>
        </is>
      </c>
      <c r="G14" s="3" t="inlineStr">
        <is>
          <t>Requiere herramienta especial para remoción; verificar torque de terminales (8–12 Nm)</t>
        </is>
      </c>
    </row>
    <row r="16" ht="20" customHeight="1">
      <c r="A16" s="1" t="inlineStr">
        <is>
          <t>RELEVADORES AUTOMOTRICES — Terminales DIN 72552 y Diagnóstico</t>
        </is>
      </c>
    </row>
    <row r="17">
      <c r="A17" s="2" t="inlineStr">
        <is>
          <t>Terminal DIN</t>
        </is>
      </c>
      <c r="B17" s="2" t="inlineStr">
        <is>
          <t>Nombre</t>
        </is>
      </c>
      <c r="C17" s="2" t="inlineStr">
        <is>
          <t>Función Técnica</t>
        </is>
      </c>
      <c r="D17" s="2" t="inlineStr">
        <is>
          <t>Voltaje / Corriente</t>
        </is>
      </c>
      <c r="E17" s="2" t="inlineStr">
        <is>
          <t>Diagnóstico en Taller</t>
        </is>
      </c>
      <c r="F17" s="2" t="inlineStr">
        <is>
          <t>Fallo Típico</t>
        </is>
      </c>
      <c r="G17" s="2" t="inlineStr">
        <is>
          <t>Nota</t>
        </is>
      </c>
    </row>
    <row r="18" ht="44" customHeight="1">
      <c r="A18" s="24" t="inlineStr">
        <is>
          <t>30</t>
        </is>
      </c>
      <c r="B18" s="3" t="inlineStr">
        <is>
          <t>Entrada de Potencia (B+)</t>
        </is>
      </c>
      <c r="C18" s="3" t="inlineStr">
        <is>
          <t>Conexión directa al positivo de batería — siempre energizado</t>
        </is>
      </c>
      <c r="D18" s="3" t="inlineStr">
        <is>
          <t>12–14V constante (KL30)</t>
        </is>
      </c>
      <c r="E18" s="3" t="inlineStr">
        <is>
          <t>Medir 12V entre terminal 30 y masa; si no hay = fusible previo fundido</t>
        </is>
      </c>
      <c r="F18" s="3" t="inlineStr">
        <is>
          <t>Cable derretido por cortocircuito aguas abajo</t>
        </is>
      </c>
      <c r="G18" s="3" t="inlineStr">
        <is>
          <t>Cable más grueso del relevador; siempre lleva 12V sin importar estado del relevador</t>
        </is>
      </c>
    </row>
    <row r="19" ht="44" customHeight="1">
      <c r="A19" s="25" t="inlineStr">
        <is>
          <t>85</t>
        </is>
      </c>
      <c r="B19" s="4" t="inlineStr">
        <is>
          <t>Tierra de Bobina (–)</t>
        </is>
      </c>
      <c r="C19" s="4" t="inlineStr">
        <is>
          <t>Cierra circuito de control electromagnético hacia masa del chasis</t>
        </is>
      </c>
      <c r="D19" s="4" t="inlineStr">
        <is>
          <t>0V cuando relevador activo; puede ser conmutado por ECU (lado masa)</t>
        </is>
      </c>
      <c r="E19" s="4" t="inlineStr">
        <is>
          <t>Verificar que llegue a 0V durante activación; si queda en 12V = ECU no activa tierra</t>
        </is>
      </c>
      <c r="F19" s="4" t="inlineStr">
        <is>
          <t>Transistor de ECU dañado que no puede llevar a tierra la bobina</t>
        </is>
      </c>
      <c r="G19" s="4" t="inlineStr">
        <is>
          <t>Las ECUs modernas controlan relevadores por el lado MASA (terminal 85); terminal 86 va a KL15</t>
        </is>
      </c>
    </row>
    <row r="20" ht="44" customHeight="1">
      <c r="A20" s="24" t="inlineStr">
        <is>
          <t>86</t>
        </is>
      </c>
      <c r="B20" s="3" t="inlineStr">
        <is>
          <t>Señal de Activación / Gatillo (+)</t>
        </is>
      </c>
      <c r="C20" s="3" t="inlineStr">
        <is>
          <t>Recibe 12V de ECU o interruptor para energizar la bobina</t>
        </is>
      </c>
      <c r="D20" s="3" t="inlineStr">
        <is>
          <t>12V cuando componente debe activarse</t>
        </is>
      </c>
      <c r="E20" s="3" t="inlineStr">
        <is>
          <t>Medir 12V en terminal 86 durante activación; si falta = ECU no envía señal o fusible de señal fundido</t>
        </is>
      </c>
      <c r="F20" s="3" t="inlineStr">
        <is>
          <t>Falta de señal por falla en sensor o programación ECU</t>
        </is>
      </c>
      <c r="G20" s="3" t="inlineStr">
        <is>
          <t>En configuración estándar: 86 = 12V trigger; 85 = tierra conmutada por ECU</t>
        </is>
      </c>
    </row>
    <row r="21" ht="44" customHeight="1">
      <c r="A21" s="25" t="inlineStr">
        <is>
          <t>87</t>
        </is>
      </c>
      <c r="B21" s="4" t="inlineStr">
        <is>
          <t>Salida Normally Open (NO)</t>
        </is>
      </c>
      <c r="C21" s="4" t="inlineStr">
        <is>
          <t>Energiza el componente cuando la bobina está activa — contacto normalmente abierto</t>
        </is>
      </c>
      <c r="D21" s="4" t="inlineStr">
        <is>
          <t>12V cuando relevador activado; 0V en reposo</t>
        </is>
      </c>
      <c r="E21" s="4" t="inlineStr">
        <is>
          <t>Medir voltaje en terminal 87 durante activación; debe ser igual a terminal 30 (máx 0.2V de pérdida)</t>
        </is>
      </c>
      <c r="F21" s="4" t="inlineStr">
        <is>
          <t>Contacto pegado o quemado por arco voltaico durante operación en carga alta</t>
        </is>
      </c>
      <c r="G21" s="4" t="inlineStr">
        <is>
          <t>La diferencia de voltaje entre 30 y 87 indica resistencia de contacto: &gt;0.2V = contacto degradado</t>
        </is>
      </c>
    </row>
    <row r="22" ht="44" customHeight="1">
      <c r="A22" s="24" t="inlineStr">
        <is>
          <t>87a</t>
        </is>
      </c>
      <c r="B22" s="3" t="inlineStr">
        <is>
          <t>Salida Normally Closed (NC)</t>
        </is>
      </c>
      <c r="C22" s="3" t="inlineStr">
        <is>
          <t>Envía 12V cuando el relevador está en REPOSO — se corta al activar</t>
        </is>
      </c>
      <c r="D22" s="3" t="inlineStr">
        <is>
          <t>12V en reposo; 0V cuando activado</t>
        </is>
      </c>
      <c r="E22" s="3" t="inlineStr">
        <is>
          <t>Medir 12V en 87a con relevador desactivado; debe ser 0V cuando se activa</t>
        </is>
      </c>
      <c r="F22" s="3" t="inlineStr">
        <is>
          <t>Contacto 87a soldado = componente siempre energizado aunque ECU no lo pida</t>
        </is>
      </c>
      <c r="G22" s="3" t="inlineStr">
        <is>
          <t>Usado en circuitos donde el componente debe estar activo por defecto (seguridad fail-safe)</t>
        </is>
      </c>
    </row>
    <row r="23" ht="44" customHeight="1">
      <c r="A23" s="25" t="inlineStr">
        <is>
          <t>Bobina (entre 85–86)</t>
        </is>
      </c>
      <c r="B23" s="4" t="inlineStr">
        <is>
          <t>Devanado electromagnético</t>
        </is>
      </c>
      <c r="C23" s="4" t="inlineStr">
        <is>
          <t>Crea campo magnético que atrae el armador para cerrar/abrir contactos</t>
        </is>
      </c>
      <c r="D23" s="4" t="inlineStr">
        <is>
          <t>Resistencia: 60–100 Ω típico (bobina 12V). Corriente: 120–200 mA</t>
        </is>
      </c>
      <c r="E23" s="4" t="inlineStr">
        <is>
          <t>Medir resistencia entre 85 y 86 con relevador fuera del socket: circuito abierto = bobina quemada; &lt;20 Ω = cortocircuito de bobina</t>
        </is>
      </c>
      <c r="F23" s="4" t="inlineStr">
        <is>
          <t>Bobina quemada por voltaje excesivo durante transientes; cortocircuito por humedad + calor cíclico</t>
        </is>
      </c>
      <c r="G23" s="4" t="inlineStr">
        <is>
          <t>Un relevador con bobina en circuito abierto hará que su circuito nunca funcione; no hay clic al activar</t>
        </is>
      </c>
    </row>
    <row r="24">
      <c r="A24" s="11" t="n"/>
      <c r="B24" s="11" t="n"/>
      <c r="C24" s="11" t="n"/>
      <c r="D24" s="11" t="n"/>
      <c r="E24" s="11" t="n"/>
      <c r="F24" s="11" t="n"/>
      <c r="G24" s="11" t="n"/>
    </row>
  </sheetData>
  <mergeCells count="3">
    <mergeCell ref="A16:G16"/>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2"/>
  <sheetViews>
    <sheetView showGridLines="0" workbookViewId="0">
      <selection activeCell="A1" sqref="A1"/>
    </sheetView>
  </sheetViews>
  <sheetFormatPr baseColWidth="8" defaultRowHeight="15"/>
  <cols>
    <col width="14" customWidth="1" min="1" max="1"/>
    <col width="28" customWidth="1" min="2" max="2"/>
    <col width="38" customWidth="1" min="3" max="3"/>
    <col width="36" customWidth="1" min="4" max="4"/>
    <col width="40" customWidth="1" min="5" max="5"/>
    <col width="38" customWidth="1" min="6" max="6"/>
    <col width="42" customWidth="1" min="7" max="7"/>
  </cols>
  <sheetData>
    <row r="1" ht="24" customHeight="1">
      <c r="A1" s="1" t="inlineStr">
        <is>
          <t>CÓDIGOS DTC — Diagnóstico Avanzado, Procedimientos de Reparación y Datos Live</t>
        </is>
      </c>
    </row>
    <row r="2" ht="30" customHeight="1">
      <c r="A2" s="2" t="inlineStr">
        <is>
          <t>Código DTC</t>
        </is>
      </c>
      <c r="B2" s="2" t="inlineStr">
        <is>
          <t>Descripción Técnica</t>
        </is>
      </c>
      <c r="C2" s="2" t="inlineStr">
        <is>
          <t>Causas Más Comunes (por probabilidad)</t>
        </is>
      </c>
      <c r="D2" s="2" t="inlineStr">
        <is>
          <t>Paso 1 — Verificación inicial</t>
        </is>
      </c>
      <c r="E2" s="2" t="inlineStr">
        <is>
          <t>Paso 2 — Diagnóstico con herramienta</t>
        </is>
      </c>
      <c r="F2" s="2" t="inlineStr">
        <is>
          <t>Paso 3 — Reparación</t>
        </is>
      </c>
      <c r="G2" s="2" t="inlineStr">
        <is>
          <t>Datos Live / Osciloscopio a Verificar</t>
        </is>
      </c>
    </row>
    <row r="3" ht="56" customHeight="1">
      <c r="A3" s="16" t="inlineStr">
        <is>
          <t>P0300</t>
        </is>
      </c>
      <c r="B3" s="3" t="inlineStr">
        <is>
          <t>Misfire (falla encendido) aleatoria — múltiples cilindros</t>
        </is>
      </c>
      <c r="C3" s="3" t="inlineStr">
        <is>
          <t>1. Bujías desgastadas 2. Bobinas de encendido degradadas 3. Fuga de vacío en múltiple admisión 4. Presión de combustible baja 5. Inyectores sucios</t>
        </is>
      </c>
      <c r="D3" s="3" t="inlineStr">
        <is>
          <t>Verificar voltaje de batería (mín 12.5V). Leer DTC con escáner — ¿es P030X específico o P0300 aleatorio?</t>
        </is>
      </c>
      <c r="E3" s="3" t="inlineStr">
        <is>
          <t>Monitorear Misfire Counter por cilindro en Live Data. Hacer balance de cilindros. Registrar RPM vs misfire</t>
        </is>
      </c>
      <c r="F3" s="3" t="inlineStr">
        <is>
          <t>Si específico: cambiar bujía/bobina del cilindro afectado. Si aleatorio: prueba de humo (vacuum leak) + presión de combustible</t>
        </is>
      </c>
      <c r="G3" s="3" t="inlineStr">
        <is>
          <t>Inyección PW uniforme entre cilindros. Señal CKP limpia sin glitches. Voltaje de bobina 200–400V en secundario</t>
        </is>
      </c>
    </row>
    <row r="4" ht="56" customHeight="1">
      <c r="A4" s="17" t="inlineStr">
        <is>
          <t>P0420</t>
        </is>
      </c>
      <c r="B4" s="4" t="inlineStr">
        <is>
          <t>Catalizador banco 1 — eficiencia por debajo del umbral</t>
        </is>
      </c>
      <c r="C4" s="4" t="inlineStr">
        <is>
          <t>1. Catalizador dañado o colmatado 2. Sensor O2 posterior 'perezoso' 3. Aceite quemado contamina sustrato 4. Fugas de escape antes del CAT 5. Mezcla rica prolongada daña CAT</t>
        </is>
      </c>
      <c r="D4" s="4" t="inlineStr">
        <is>
          <t>Verificar no hay fugas de escape (burbujas con motor frío). Descartar P0171/P0172 (mezcla fuera de rango) antes de culpar al CAT</t>
        </is>
      </c>
      <c r="E4" s="4" t="inlineStr">
        <is>
          <t>Monitorear O2 anterior (oscilación activa 0.1–0.9V) vs O2 posterior (debe estar relativamente estable ~0.6–0.7V en CAT sano)</t>
        </is>
      </c>
      <c r="F4" s="4" t="inlineStr">
        <is>
          <t>Si O2 post activo igual que O2 pre = CAT agotado. Si O2 post lento/plano = probar sensor O2 primero (más barato)</t>
        </is>
      </c>
      <c r="G4" s="4" t="inlineStr">
        <is>
          <t>O2 post: voltaje estable 0.5–0.7V en CAT bueno. O2 pre: oscilación rápida 0.5–2 Hz. Prueba de almacenamiento de O2</t>
        </is>
      </c>
    </row>
    <row r="5" ht="56" customHeight="1">
      <c r="A5" s="16" t="inlineStr">
        <is>
          <t>P0171</t>
        </is>
      </c>
      <c r="B5" s="3" t="inlineStr">
        <is>
          <t>Sistema demasiado pobre — Banco 1 (mezcla lean)</t>
        </is>
      </c>
      <c r="C5" s="3" t="inlineStr">
        <is>
          <t>1. MAF sucio o dañado 2. Fuga de vacío (manguera admisión rota) 3. Bomba de combustible débil 4. Filtro de combustible obstruido 5. Inyectores sucios/atascados</t>
        </is>
      </c>
      <c r="D5" s="3" t="inlineStr">
        <is>
          <t>Limpiar MAF con solvente específico (no frenos). Verificar LTFT (Long Term Fuel Trim) — si &gt;+10% confirmado lean</t>
        </is>
      </c>
      <c r="E5" s="3" t="inlineStr">
        <is>
          <t>Prueba de humo en admisión para detectar fugas. Medir presión de combustible (debe ser 3.5–4 bar en ralentí). Balancear inyectores</t>
        </is>
      </c>
      <c r="F5" s="3" t="inlineStr">
        <is>
          <t>Si LTFT mejora post-limpieza MAF: reemplazar MAF. Si fugas: reparar mangueras. Si presión baja: bomba combustible</t>
        </is>
      </c>
      <c r="G5" s="3" t="inlineStr">
        <is>
          <t>MAF señal en ralentí: 1–2 g/s (motor 2.0L). STFT ±5% normal; LTFT &gt;+10% = problema crónico lean</t>
        </is>
      </c>
    </row>
    <row r="6" ht="56" customHeight="1">
      <c r="A6" s="17" t="inlineStr">
        <is>
          <t>P0172</t>
        </is>
      </c>
      <c r="B6" s="4" t="inlineStr">
        <is>
          <t>Sistema demasiado rico — Banco 1 (mezcla rich)</t>
        </is>
      </c>
      <c r="C6" s="4" t="inlineStr">
        <is>
          <t>1. Inyector(es) goteando en reposo 2. Presión de combustible excesiva (regulador dañado) 3. Sensor O2 defectuoso leyendo pobre 4. MAF sobreleyendo flujo 5. Temperatura de refrigerante falsa (NTC)</t>
        </is>
      </c>
      <c r="D6" s="4" t="inlineStr">
        <is>
          <t>Verificar olor a gasolina en aceite (inyector goteando). Medir LTFT — si &lt;-10% confirmado rich. Revisar presión combustible con llave quitada</t>
        </is>
      </c>
      <c r="E6" s="4" t="inlineStr">
        <is>
          <t>Balancear inyectores — el que gotea mostrará cilindro más frío en infrarrojo. Probar con inyectores limpios de loan set</t>
        </is>
      </c>
      <c r="F6" s="4" t="inlineStr">
        <is>
          <t>Reemplazar inyector(es) defectuosos. Si regulador dañado: presión &gt; 4.5 bar → reemplazar. Verificar ECT si lectura de temperatura falsa</t>
        </is>
      </c>
      <c r="G6" s="4" t="inlineStr">
        <is>
          <t>LTFT &lt;-10% = rich crónico. Presión de combustible en off: debe caer lentamente; caída rápida = inyector que gotea internamente</t>
        </is>
      </c>
    </row>
    <row r="7" ht="56" customHeight="1">
      <c r="A7" s="16" t="inlineStr">
        <is>
          <t>P0442</t>
        </is>
      </c>
      <c r="B7" s="3" t="inlineStr">
        <is>
          <t>Fuga pequeña sistema EVAP — vapor de combustible</t>
        </is>
      </c>
      <c r="C7" s="3" t="inlineStr">
        <is>
          <t>1. Tapón de gasolina no sellando correctamente 2. Purga EVAP con fuga 3. Manguera de cánister deteriorada 4. Válvula de ventilación del tanque</t>
        </is>
      </c>
      <c r="D7" s="3" t="inlineStr">
        <is>
          <t>Verificar que el tapón esté correcto y haga clic (algunos requieren 3+ clics). Inspeccionar mangueras de vacío del cánister visualmente</t>
        </is>
      </c>
      <c r="E7" s="3" t="inlineStr">
        <is>
          <t>Prueba de humo en sistema EVAP: conectar máquina al puerto de servicio EVAP. Observar dónde escapa el humo</t>
        </is>
      </c>
      <c r="F7" s="3" t="inlineStr">
        <is>
          <t>Si fuga en tapón: reemplazar tapón OEM. Si en purge valve: medir resistencia (20–30 Ω) y activar con escáner. Si en líneas: reemplazar tramo</t>
        </is>
      </c>
      <c r="G7" s="3" t="inlineStr">
        <is>
          <t>Monitorear FTP (Fuel Tank Pressure) sensor: presión debe mantenerse durante prueba de sellado EVAP en frío</t>
        </is>
      </c>
    </row>
    <row r="8" ht="56" customHeight="1">
      <c r="A8" s="17" t="inlineStr">
        <is>
          <t>P0340</t>
        </is>
      </c>
      <c r="B8" s="4" t="inlineStr">
        <is>
          <t>Sensor CMP circuito A banco 1 — sin señal o señal incorrecta</t>
        </is>
      </c>
      <c r="C8" s="4" t="inlineStr">
        <is>
          <t>1. Sensor CMP dañado 2. Rueda fónica de árbol de levas dañada/suelta 3. Cableado roto o masa deficiente del sensor 4. Air gap excesivo entre sensor y rueda fónica</t>
        </is>
      </c>
      <c r="D8" s="4" t="inlineStr">
        <is>
          <t>Verificar alimentación al sensor (5V o 12V según tipo). Verificar tierra del sensor (&lt;0.1V de caída)</t>
        </is>
      </c>
      <c r="E8" s="4" t="inlineStr">
        <is>
          <t>Osciloscopio en señal CMP: debe haber onda cuadrada proporcional a RPM. Sin señal = sensor o rueda fónica. Señal ruidosa = blindaje</t>
        </is>
      </c>
      <c r="F8" s="4" t="inlineStr">
        <is>
          <t>Si señal ausente: verificar air gap (0.5–1.5mm). Si señal distorsionada: revisar blindaje del cable. Si OK = ECU puede estar dañada</t>
        </is>
      </c>
      <c r="G8" s="4" t="inlineStr">
        <is>
          <t>Señal CMP debe sincronizar con CKP: CMP = 1 pulso por revolución árbol levas. Desfase excesivo = cadena de distribución estirada</t>
        </is>
      </c>
    </row>
    <row r="9" ht="56" customHeight="1">
      <c r="A9" s="16" t="inlineStr">
        <is>
          <t>P0191</t>
        </is>
      </c>
      <c r="B9" s="3" t="inlineStr">
        <is>
          <t>Sensor de presión de riel de combustible — fuera de rango</t>
        </is>
      </c>
      <c r="C9" s="3" t="inlineStr">
        <is>
          <t>1. Presión de rail baja por bomba de alta presión débil 2. Válvula de regulación de presión en rail dañada 3. Sensor de presión dañado 4. Inyectores con fuga interna</t>
        </is>
      </c>
      <c r="D9" s="3" t="inlineStr">
        <is>
          <t>Verificar señal del sensor: 0.5V (0 bar) a 4.5V (presión máx). Con llave puesta sin arrancar: debe subir a presión de base (~5 bar gasolina GDI)</t>
        </is>
      </c>
      <c r="E9" s="3" t="inlineStr">
        <is>
          <t>Comparar presión real (transductor externo en rail) vs lectura del sensor. Si difieren: sensor dañado. Si coinciden: problema de presión real</t>
        </is>
      </c>
      <c r="F9" s="3" t="inlineStr">
        <is>
          <t>Si presión baja con sensor correcto: revisar bomba baja presión (2–6 bar) y bomba alta presión. Verificar válvula IPR/ICV en rail</t>
        </is>
      </c>
      <c r="G9" s="3" t="inlineStr">
        <is>
          <t>Presión rail GDI ralentí: 50–80 bar. Aceleración plena: 120–200 bar. TDI Common Rail ralentí: 200 bar. Máx: 1800–2200 bar</t>
        </is>
      </c>
    </row>
    <row r="10" ht="56" customHeight="1">
      <c r="A10" s="17" t="inlineStr">
        <is>
          <t>P0562</t>
        </is>
      </c>
      <c r="B10" s="4" t="inlineStr">
        <is>
          <t>Voltaje de sistema bajo — bajo umbral ECU</t>
        </is>
      </c>
      <c r="C10" s="4" t="inlineStr">
        <is>
          <t>1. Batería descargada o dañada (capacidad baja) 2. Alternador no cargando 3. Cable de masa de batería con alta resistencia 4. Corrosión en terminales de batería</t>
        </is>
      </c>
      <c r="D10" s="4" t="inlineStr">
        <is>
          <t>Medir voltaje de batería en reposo: &gt;12.6V batería cargada. Con motor: 13.8–14.5V alternador OK. &lt;13V = alternador débil</t>
        </is>
      </c>
      <c r="E10" s="4" t="inlineStr">
        <is>
          <t>Prueba de carga de batería (load test): debe mantener &gt;9.6V bajo 150A de carga por 15 segundos. Medir caída de voltaje en cables B+ y masa bajo carga</t>
        </is>
      </c>
      <c r="F10" s="4" t="inlineStr">
        <is>
          <t>Si alternador &lt; 13.5V a 2000 RPM: probar tensión de campo (55–70% del voltaje de batería en terminal F). Si masa deficiente: limpiar puntos de tierra</t>
        </is>
      </c>
      <c r="G10" s="4" t="inlineStr">
        <is>
          <t>Voltaje en tiempo real durante cranking: &gt;9.5V. Voltaje en carga alternador: 13.8–14.7V. Ripple AC del alternador: &lt;0.05V AC</t>
        </is>
      </c>
    </row>
    <row r="11" ht="56" customHeight="1">
      <c r="A11" s="16" t="inlineStr">
        <is>
          <t>B1001 / B0071 (Airbag SRS)</t>
        </is>
      </c>
      <c r="B11" s="3" t="inlineStr">
        <is>
          <t>Módulo SRS — circuito de detonador (squib) abierto o en corto</t>
        </is>
      </c>
      <c r="C11" s="3" t="inlineStr">
        <is>
          <t>1. Conector SRS desconectado sin suprimir el sistema 2. Cable amarillo roto en espiral de volante 3. Corrosión en conector del airbag 4. Detonador (squib) dañado</t>
        </is>
      </c>
      <c r="D11" s="3" t="inlineStr">
        <is>
          <t>PRECAUCIÓN: desconectar batería y esperar 10 minutos mínimo antes de trabajar. Nunca conectar/desconectar SRS con batería conectada</t>
        </is>
      </c>
      <c r="E11" s="3" t="inlineStr">
        <is>
          <t>Verificar resistencia del squib (detonador): 1.8–3.3 Ω típico. Fuera de rango = reemplazar módulo airbag completo (nunca reparar squib)</t>
        </is>
      </c>
      <c r="F11" s="3" t="inlineStr">
        <is>
          <t>Si espiral de volante roto: reemplazar con OEM. Si conector corroído: limpiar con solvente dieléctrico y proteger con grasa dieléctrica</t>
        </is>
      </c>
      <c r="G11" s="3" t="inlineStr">
        <is>
          <t>Resistencia squib debe medirse SOLO con herramienta SRS dedicada que use voltaje &lt;50mV; multímetro estándar puede detonar el airbag</t>
        </is>
      </c>
    </row>
    <row r="12" ht="56" customHeight="1">
      <c r="A12" s="17" t="inlineStr">
        <is>
          <t>U0100</t>
        </is>
      </c>
      <c r="B12" s="4" t="inlineStr">
        <is>
          <t>CAN bus — pérdida de comunicación con ECM/PCM</t>
        </is>
      </c>
      <c r="C12" s="4" t="inlineStr">
        <is>
          <t>1. Red CAN interrumpida (cable cortado o conector suelto) 2. Resistencias de terminación faltantes (debe ser 60 Ω en OBD2) 3. ECU en corto jalando el bus a masa 4. Fusible de ECU fundido</t>
        </is>
      </c>
      <c r="D12" s="4" t="inlineStr">
        <is>
          <t>Medir resistencia entre Pin 6 y Pin 14 del OBD2 con batería desconectada: debe ser 60 Ω. Si infinito = bus roto. Si &lt;50 Ω = ECU en corto</t>
        </is>
      </c>
      <c r="E12" s="4" t="inlineStr">
        <is>
          <t>Desconectar ECUs una por una hasta que la resistencia regrese a 60 Ω — la última ECU desconectada antes de normalizar es la que está en corto</t>
        </is>
      </c>
      <c r="F12" s="4" t="inlineStr">
        <is>
          <t>Reparar cable CAN roto. Si ECU en corto: revisar alimentaciones de esa ECU (posible sobrevoltaje dañó el transceptor CAN interno)</t>
        </is>
      </c>
      <c r="G12" s="4" t="inlineStr">
        <is>
          <t>Osciloscopio en CAN-H/CAN-L: señal activa debe mostrar diferencial de 2V con forma de trapezoide. Bus muerto = línea plana en 2.5V</t>
        </is>
      </c>
    </row>
  </sheetData>
  <mergeCells count="1">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18" customWidth="1" min="1" max="1"/>
    <col width="28" customWidth="1" min="2" max="2"/>
    <col width="24" customWidth="1" min="3" max="3"/>
    <col width="38" customWidth="1" min="4" max="4"/>
    <col width="28" customWidth="1" min="5" max="5"/>
    <col width="28" customWidth="1" min="6" max="6"/>
    <col width="38" customWidth="1" min="7" max="7"/>
  </cols>
  <sheetData>
    <row r="1" ht="24" customHeight="1">
      <c r="A1" s="1" t="inlineStr">
        <is>
          <t>PROGRAMACIÓN J2534, INMOVILIZADOR IMMO Y REPARACIÓN A NIVEL COMPONENTE DE ECU</t>
        </is>
      </c>
    </row>
    <row r="2" ht="20" customHeight="1">
      <c r="A2" s="1" t="inlineStr">
        <is>
          <t>PROTOCOLO J2534 — Reprogramación de ECU y Requisitos de Energía</t>
        </is>
      </c>
    </row>
    <row r="3" ht="30" customHeight="1">
      <c r="A3" s="2" t="inlineStr">
        <is>
          <t>Parámetro</t>
        </is>
      </c>
      <c r="B3" s="2" t="inlineStr">
        <is>
          <t>Especificación / Valor</t>
        </is>
      </c>
      <c r="C3" s="2" t="inlineStr">
        <is>
          <t>Consecuencia de Incumplir</t>
        </is>
      </c>
      <c r="D3" s="2" t="inlineStr">
        <is>
          <t>Herramienta Recomendada</t>
        </is>
      </c>
      <c r="E3" s="2" t="inlineStr">
        <is>
          <t>Aplicación por Marca</t>
        </is>
      </c>
      <c r="F3" s="2" t="inlineStr">
        <is>
          <t>Protocolo OBD2 Soportado</t>
        </is>
      </c>
      <c r="G3" s="2" t="inlineStr">
        <is>
          <t>Nota Crítica</t>
        </is>
      </c>
    </row>
    <row r="4" ht="44" customHeight="1">
      <c r="A4" s="9" t="inlineStr">
        <is>
          <t>Voltaje de programación estable</t>
        </is>
      </c>
      <c r="B4" s="3" t="inlineStr">
        <is>
          <t>13.5V ±0.3V constante durante todo el flash</t>
        </is>
      </c>
      <c r="C4" s="3" t="inlineStr">
        <is>
          <t>Corrupción del firmware (bricking) — ECU permanentemente inoperativa</t>
        </is>
      </c>
      <c r="D4" s="3" t="inlineStr">
        <is>
          <t>Fuente de alimentación estabilizada con voltaje regulado (NO cargador de batería convencional)</t>
        </is>
      </c>
      <c r="E4" s="3" t="inlineStr">
        <is>
          <t>Obligatorio en TODAS las marcas para cualquier reprogramación ECU/TCM/BCM</t>
        </is>
      </c>
      <c r="F4" s="3" t="inlineStr">
        <is>
          <t>CAN / ISO 9141 / J1850 / KWP2000</t>
        </is>
      </c>
      <c r="G4" s="3" t="inlineStr">
        <is>
          <t>El AC ripple de un cargador convencional puede corromper datos durante escritura; usar fuente DC pura</t>
        </is>
      </c>
    </row>
    <row r="5" ht="44" customHeight="1">
      <c r="A5" s="10" t="inlineStr">
        <is>
          <t>Interfaz J2534 (Pass-Thru device)</t>
        </is>
      </c>
      <c r="B5" s="4" t="inlineStr">
        <is>
          <t>Estándar SAE J2534-1 y J2534-2</t>
        </is>
      </c>
      <c r="C5" s="4" t="inlineStr">
        <is>
          <t>Sin interfaz correcta = software OEM no puede comunicar con el vehículo</t>
        </is>
      </c>
      <c r="D5" s="4" t="inlineStr">
        <is>
          <t>VCX Nano Multi J2534 / Ford VCM2 / Autel MaxiFlash / Drew Tech MongoosePro</t>
        </is>
      </c>
      <c r="E5" s="4" t="inlineStr">
        <is>
          <t>Ford: IDS + VCM2/J2534. VAG: ODIS + VAS5054/J2534. GM: GDS2 + J2534</t>
        </is>
      </c>
      <c r="F5" s="4" t="inlineStr">
        <is>
          <t>ISO 9141, KWP2000, J1850VPW, J1850PWM, CAN ISO 15765, ISO 14229 (UDS)</t>
        </is>
      </c>
      <c r="G5" s="4" t="inlineStr">
        <is>
          <t>Verificar que el device tenga certificación J2534 actualizada; dispositivos no certificados pueden dañar la ECU durante flash</t>
        </is>
      </c>
    </row>
    <row r="6" ht="44" customHeight="1">
      <c r="A6" s="9" t="inlineStr">
        <is>
          <t>Duración del proceso de flash</t>
        </is>
      </c>
      <c r="B6" s="3" t="inlineStr">
        <is>
          <t>5–45 minutos según tamaño de calibración y modelo</t>
        </is>
      </c>
      <c r="C6" s="3" t="inlineStr">
        <is>
          <t>Interrumpir el flash a mitad = ECU brickeada</t>
        </is>
      </c>
      <c r="D6" s="3" t="inlineStr">
        <is>
          <t>Computadora dedicada (no compartida), Windows 10/11, antivirus suspendido</t>
        </is>
      </c>
      <c r="E6" s="3" t="inlineStr">
        <is>
          <t>EDC17/MED17/SIMOS19: 15–45 min. EDC15/ME7: 5–15 min. BCM/TCM: 10–20 min</t>
        </is>
      </c>
      <c r="F6" s="3" t="inlineStr">
        <is>
          <t>Descarga de calibración desde servidor OEM antes de iniciar</t>
        </is>
      </c>
      <c r="G6" s="3" t="inlineStr">
        <is>
          <t>Nunca usar laptop con batería interna únicamente; conectar a corriente AC durante todo el proceso</t>
        </is>
      </c>
    </row>
    <row r="7" ht="44" customHeight="1">
      <c r="A7" s="10" t="inlineStr">
        <is>
          <t>Software OEM oficial requerido</t>
        </is>
      </c>
      <c r="B7" s="4" t="inlineStr">
        <is>
          <t>Software del fabricante específico por marca</t>
        </is>
      </c>
      <c r="C7" s="4" t="inlineStr">
        <is>
          <t>Software pirata / clonado puede enviar calibración incorrecta → daño permanente</t>
        </is>
      </c>
      <c r="D7" s="4" t="inlineStr">
        <is>
          <t>Ford: IDS / FDRS. VAG: ODIS Engineering. GM: GDS2. Toyota: TIS Techstream. BMW: ISTA</t>
        </is>
      </c>
      <c r="E7" s="4" t="inlineStr">
        <is>
          <t>Cada marca tiene su propio portal de descarga de calibraciones (requiere suscripción técnico)</t>
        </is>
      </c>
      <c r="F7" s="4" t="inlineStr">
        <is>
          <t>UDS ISO 14229 en marcas 2015+ (reemplaza KWP2000)</t>
        </is>
      </c>
      <c r="G7" s="4" t="inlineStr">
        <is>
          <t>Verificar número de calibración disponible en servidor ANTES de desconectar la ECU original del vehículo</t>
        </is>
      </c>
    </row>
    <row r="8" ht="44" customHeight="1">
      <c r="A8" s="9" t="inlineStr">
        <is>
          <t>Procedimiento post-flash</t>
        </is>
      </c>
      <c r="B8" s="3" t="inlineStr">
        <is>
          <t>Borrar DTC, ciclo de encendido, verificar adaptaciones</t>
        </is>
      </c>
      <c r="C8" s="3" t="inlineStr">
        <is>
          <t>Sin reaprendizaje = posibles fallos intermitentes en sensores adaptados</t>
        </is>
      </c>
      <c r="D8" s="3" t="inlineStr">
        <is>
          <t>Escáner con funciones de reaprendizaje: Autel, Launch, VCAUTO, Forscan</t>
        </is>
      </c>
      <c r="E8" s="3" t="inlineStr">
        <is>
          <t>Adaptación cuerpo acelerador (VW), reaprendizaje de ralentí (GM), calibración de dirección (Ford EPS)</t>
        </is>
      </c>
      <c r="F8" s="3" t="inlineStr">
        <is>
          <t>UDS / KWP2000 session control para iniciar reaprendizajes</t>
        </is>
      </c>
      <c r="G8" s="3" t="inlineStr">
        <is>
          <t>Algunos módulos requieren 'vehicle configuration' con datos del VIN antes de funcionar post-flash</t>
        </is>
      </c>
    </row>
    <row r="10" ht="20" customHeight="1">
      <c r="A10" s="1" t="inlineStr">
        <is>
          <t>INMOVILIZADOR IMMO — Generaciones, Procedimientos de Sincronización y PIN Code</t>
        </is>
      </c>
    </row>
    <row r="11">
      <c r="A11" s="2" t="inlineStr">
        <is>
          <t>Generación IMMO</t>
        </is>
      </c>
      <c r="B11" s="2" t="inlineStr">
        <is>
          <t>Marcas / Modelos</t>
        </is>
      </c>
      <c r="C11" s="2" t="inlineStr">
        <is>
          <t>Tipo de Transponder</t>
        </is>
      </c>
      <c r="D11" s="2" t="inlineStr">
        <is>
          <t>Procedimiento de Sincronización</t>
        </is>
      </c>
      <c r="E11" s="2" t="inlineStr">
        <is>
          <t>PIN Code Requerido</t>
        </is>
      </c>
      <c r="F11" s="2" t="inlineStr">
        <is>
          <t>Herramienta Necesaria</t>
        </is>
      </c>
      <c r="G11" s="2" t="inlineStr">
        <is>
          <t>Nota de Seguridad</t>
        </is>
      </c>
    </row>
    <row r="12" ht="48" customHeight="1">
      <c r="A12" s="14" t="inlineStr">
        <is>
          <t>IMMO 1 (VAG)</t>
        </is>
      </c>
      <c r="B12" s="3" t="inlineStr">
        <is>
          <t>VW Golf A3/A4, Passat B4, Polo 6N — 1995–1999</t>
        </is>
      </c>
      <c r="C12" s="3" t="inlineStr">
        <is>
          <t>Transponder PCF7921 / ID33 (fijo)</t>
        </is>
      </c>
      <c r="D12" s="3" t="inlineStr">
        <is>
          <t>Adaptación con VAG-COM: canal 050. Llave nueva se sincroniza en 10 segundos con PIN de 4 dígitos</t>
        </is>
      </c>
      <c r="E12" s="3" t="inlineStr">
        <is>
          <t>PIN 4 dígitos — se obtiene con herramienta de lectura EEPROM de EZS (módulo de llave)</t>
        </is>
      </c>
      <c r="F12" s="3" t="inlineStr">
        <is>
          <t>VAG-COM / VCAUTO / OBD11 Pro</t>
        </is>
      </c>
      <c r="G12" s="3" t="inlineStr">
        <is>
          <t>IMMO1 ya no es seguro; se puede crackear con herramientas básicas. Vehículo histórico</t>
        </is>
      </c>
    </row>
    <row r="13" ht="48" customHeight="1">
      <c r="A13" s="15" t="inlineStr">
        <is>
          <t>IMMO 2 (VAG)</t>
        </is>
      </c>
      <c r="B13" s="4" t="inlineStr">
        <is>
          <t>VW Golf A4 tarde, Passat B5, Audi A4 B5 — 1997–2001</t>
        </is>
      </c>
      <c r="C13" s="4" t="inlineStr">
        <is>
          <t>Transponder PCF7931 / ID40 (cifrado básico)</t>
        </is>
      </c>
      <c r="D13" s="4" t="inlineStr">
        <is>
          <t>Función especial VAG-COM grupo 021: introducir PIN 5 dígitos → sincronizar llave nueva</t>
        </is>
      </c>
      <c r="E13" s="4" t="inlineStr">
        <is>
          <t>PIN 5 dígitos — se calcula del número de bastidor con herramienta IMMO PIN reader o lectura EEPROM</t>
        </is>
      </c>
      <c r="F13" s="4" t="inlineStr">
        <is>
          <t>VCDS Ross-Tech / OBDSTAR / VVDI2</t>
        </is>
      </c>
      <c r="G13" s="4" t="inlineStr">
        <is>
          <t>IMMO2 tiene clave criptográfica básica; 'crackeable' con tiempo. PIN se puede extraer de EEPROM del módulo de instrumentos</t>
        </is>
      </c>
    </row>
    <row r="14" ht="48" customHeight="1">
      <c r="A14" s="14" t="inlineStr">
        <is>
          <t>IMMO 3 (VAG)</t>
        </is>
      </c>
      <c r="B14" s="3" t="inlineStr">
        <is>
          <t>VW Golf A5/A6, Passat B6, Audi A4 B6/B7 — 2000–2008</t>
        </is>
      </c>
      <c r="C14" s="3" t="inlineStr">
        <is>
          <t>Transponder Megamos Crypto ID48 (128-bit)</t>
        </is>
      </c>
      <c r="D14" s="3" t="inlineStr">
        <is>
          <t>Requiere PIN + codificación del canal CAN. Proceso via herramienta con función IMMO3. 30–60 minutos</t>
        </is>
      </c>
      <c r="E14" s="3" t="inlineStr">
        <is>
          <t>PIN 5 dígitos — ya NO se extrae de EEPROM estándar; requiere herramienta con base de datos de cálculo por VIN</t>
        </is>
      </c>
      <c r="F14" s="3" t="inlineStr">
        <is>
          <t>VVDI2 Xhorse / VCDS / Autel IM608</t>
        </is>
      </c>
      <c r="G14" s="3" t="inlineStr">
        <is>
          <t>IMMO3 con ID48 fue considerado inviolable por años; hoy se puede clonar con equipos especializados en 20–40 min</t>
        </is>
      </c>
    </row>
    <row r="15" ht="48" customHeight="1">
      <c r="A15" s="15" t="inlineStr">
        <is>
          <t>IMMO 4 (VAG)</t>
        </is>
      </c>
      <c r="B15" s="4" t="inlineStr">
        <is>
          <t>VW Golf A6/A7, Passat B7, Audi A4/A5/A6 — 2008–2016</t>
        </is>
      </c>
      <c r="C15" s="4" t="inlineStr">
        <is>
          <t>Transponder ID46 / MQB con cifrado AES-128</t>
        </is>
      </c>
      <c r="D15" s="4" t="inlineStr">
        <is>
          <t>Proceso completamente via escáner avanzado; requiere token online (servidor Xhorse/Autel). Acceso a red requerido</t>
        </is>
      </c>
      <c r="E15" s="4" t="inlineStr">
        <is>
          <t>No hay PIN numérico; autenticación online contra servidor del fabricante de herramienta</t>
        </is>
      </c>
      <c r="F15" s="4" t="inlineStr">
        <is>
          <t>VVDI Key Tool Max Pro / Autel IM608 Pro II</t>
        </is>
      </c>
      <c r="G15" s="4" t="inlineStr">
        <is>
          <t>AES-128 hace este IMMO virtualmente inviolable sin herramienta autorizada; costo por token operación ~$50 MX</t>
        </is>
      </c>
    </row>
    <row r="16" ht="48" customHeight="1">
      <c r="A16" s="14" t="inlineStr">
        <is>
          <t>PATS (Ford)</t>
        </is>
      </c>
      <c r="B16" s="3" t="inlineStr">
        <is>
          <t>Ford desde 1996 — Mustang, F-150, Explorer, Fusion, todos los modelos Ford NA</t>
        </is>
      </c>
      <c r="C16" s="3" t="inlineStr">
        <is>
          <t>Transponder 4D63 (80-bit) / 7936E / 8C (más recientes)</t>
        </is>
      </c>
      <c r="D16" s="3" t="inlineStr">
        <is>
          <t>Función especial 'PATS Key Programming' en IDS/FORScan: introduce 2 llaves maestras programadas → agrega llaves adicionales</t>
        </is>
      </c>
      <c r="E16" s="3" t="inlineStr">
        <is>
          <t>No PIN numérico; requiere tener 2 llaves ya programadas en el sistema o código de acceso del concesionario</t>
        </is>
      </c>
      <c r="F16" s="3" t="inlineStr">
        <is>
          <t>FORScan Extended / Autel / Ford IDS</t>
        </is>
      </c>
      <c r="G16" s="3" t="inlineStr">
        <is>
          <t>Sin 2 llaves maestras: hay que ir con Ford dealer o usar herramienta con módulo PATS extractor (costoso)</t>
        </is>
      </c>
    </row>
    <row r="17" ht="48" customHeight="1">
      <c r="A17" s="15" t="inlineStr">
        <is>
          <t>BCM/ECM Chrysler</t>
        </is>
      </c>
      <c r="B17" s="4" t="inlineStr">
        <is>
          <t>Dodge, Chrysler, Jeep, RAM — todos los modelos</t>
        </is>
      </c>
      <c r="C17" s="4" t="inlineStr">
        <is>
          <t>Transponder 46/7935/7936</t>
        </is>
      </c>
      <c r="D17" s="4" t="inlineStr">
        <is>
          <t>Función 'SKIM synchronization' en StarScan / WiTECH: introducir PIN del SKIM module (Sentry Key) + ciclos de llave</t>
        </is>
      </c>
      <c r="E17" s="4" t="inlineStr">
        <is>
          <t>PIN 4 dígitos del SKIM — obtener del portal mopar.com con registro de propietario verificado</t>
        </is>
      </c>
      <c r="F17" s="4" t="inlineStr">
        <is>
          <t>WiTECH 2.0 / StarScan / Autel IM508</t>
        </is>
      </c>
      <c r="G17" s="4" t="inlineStr">
        <is>
          <t>El módulo SKIM almacena las llaves; si se reemplaza SKIM → hay que reprogramar TODAS las llaves existentes</t>
        </is>
      </c>
    </row>
    <row r="18" ht="48" customHeight="1">
      <c r="A18" s="14" t="inlineStr">
        <is>
          <t>Sistema de Arranque (GM TechII)</t>
        </is>
      </c>
      <c r="B18" s="3" t="inlineStr">
        <is>
          <t>GM Chevrolet, GMC, Buick, Cadillac</t>
        </is>
      </c>
      <c r="C18" s="3" t="inlineStr">
        <is>
          <t>Transponder ID46 / PWM / PCF7937</t>
        </is>
      </c>
      <c r="D18" s="3" t="inlineStr">
        <is>
          <t>Función especial en GDS2/Tech2Win: 'PassLock Learn' o 'RPO Security Learn'. Proceso de 10 minutos con llave en ACC</t>
        </is>
      </c>
      <c r="E18" s="3" t="inlineStr">
        <is>
          <t>No PIN numérico en la mayoría; proceso de reaprendizaje con procedimiento de temporizador de 10 minutos</t>
        </is>
      </c>
      <c r="F18" s="3" t="inlineStr">
        <is>
          <t>GDS2 / Tech2Win / Autel IM608</t>
        </is>
      </c>
      <c r="G18" s="3" t="inlineStr">
        <is>
          <t>PassLock vs PassKey III vs VATS: diferentes sistemas en diferentes generaciones; verificar año/modelo antes de proceder</t>
        </is>
      </c>
    </row>
    <row r="19">
      <c r="A19" s="11" t="n"/>
      <c r="B19" s="11" t="n"/>
      <c r="C19" s="11" t="n"/>
      <c r="D19" s="11" t="n"/>
      <c r="E19" s="11" t="n"/>
      <c r="F19" s="11" t="n"/>
      <c r="G19" s="11" t="n"/>
    </row>
  </sheetData>
  <mergeCells count="3">
    <mergeCell ref="A2:G2"/>
    <mergeCell ref="A1:G1"/>
    <mergeCell ref="A10:G10"/>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0"/>
  <sheetViews>
    <sheetView showGridLines="0" workbookViewId="0">
      <selection activeCell="A1" sqref="A1"/>
    </sheetView>
  </sheetViews>
  <sheetFormatPr baseColWidth="8" defaultRowHeight="15"/>
  <cols>
    <col width="22" customWidth="1" min="1" max="1"/>
    <col width="38" customWidth="1" min="2" max="2"/>
    <col width="32" customWidth="1" min="3" max="3"/>
    <col width="30" customWidth="1" min="4" max="4"/>
    <col width="34" customWidth="1" min="5" max="5"/>
    <col width="28" customWidth="1" min="6" max="6"/>
    <col width="40" customWidth="1" min="7" max="7"/>
  </cols>
  <sheetData>
    <row r="1" ht="24" customHeight="1">
      <c r="A1" s="1" t="inlineStr">
        <is>
          <t>REPARACIÓN A NIVEL COMPONENTE DE ECU — MOSFETs, Capacitores, PCB y Fallas Intermitentes</t>
        </is>
      </c>
    </row>
    <row r="2" ht="20" customHeight="1">
      <c r="A2" s="1" t="inlineStr">
        <is>
          <t>PRUEBAS DE COMPONENTES ELECTRÓNICOS EN ECU — MOSFETs, Capacitores, Transistores</t>
        </is>
      </c>
    </row>
    <row r="3" ht="30" customHeight="1">
      <c r="A3" s="2" t="inlineStr">
        <is>
          <t>Componente</t>
        </is>
      </c>
      <c r="B3" s="2" t="inlineStr">
        <is>
          <t>Función en la ECU</t>
        </is>
      </c>
      <c r="C3" s="2" t="inlineStr">
        <is>
          <t>Modo de Falla Típico</t>
        </is>
      </c>
      <c r="D3" s="2" t="inlineStr">
        <is>
          <t>Prueba con Multímetro</t>
        </is>
      </c>
      <c r="E3" s="2" t="inlineStr">
        <is>
          <t>Valor Normal</t>
        </is>
      </c>
      <c r="F3" s="2" t="inlineStr">
        <is>
          <t>Valor de Fallo</t>
        </is>
      </c>
      <c r="G3" s="2" t="inlineStr">
        <is>
          <t>Herramienta / Procedimiento</t>
        </is>
      </c>
    </row>
    <row r="4" ht="48" customHeight="1">
      <c r="A4" s="9" t="inlineStr">
        <is>
          <t>MOSFET N-Channel (control inyectores)</t>
        </is>
      </c>
      <c r="B4" s="3" t="inlineStr">
        <is>
          <t>Interruptor de potencia para activar inyectores, bobinas y actuadores de masa</t>
        </is>
      </c>
      <c r="C4" s="3" t="inlineStr">
        <is>
          <t>Cortocircuito interno Drain–Source (D-S) — el actuador queda permanentemente activo o el fusible se funde</t>
        </is>
      </c>
      <c r="D4" s="3" t="inlineStr">
        <is>
          <t>Multímetro en modo DIODO. Medir entre D y S (positivo a D, negativo a S): debe ser circuito abierto (OL). Luego tocar Gate con positivo: debe conducir (0.3–0.7V)</t>
        </is>
      </c>
      <c r="E4" s="3" t="inlineStr">
        <is>
          <t>Sin Gate: OL (sin continuidad). Con Gate activado: 0.3–0.7V (conducción)</t>
        </is>
      </c>
      <c r="F4" s="3" t="inlineStr">
        <is>
          <t>Continuidad D-S sin Gate = MOSFET en corto. OL con Gate = MOSFET abierto/muerto</t>
        </is>
      </c>
      <c r="G4" s="3" t="inlineStr">
        <is>
          <t>Estación de soldadura con temperatura controlada 320–350°C para extracción/instalación. Nunca soldar en frío</t>
        </is>
      </c>
    </row>
    <row r="5" ht="48" customHeight="1">
      <c r="A5" s="10" t="inlineStr">
        <is>
          <t>MOSFET P-Channel (control bobinas)</t>
        </is>
      </c>
      <c r="B5" s="4" t="inlineStr">
        <is>
          <t>Interruptor de alta tensión para activar bobinas de ignición (GDI) y válvulas solenoide</t>
        </is>
      </c>
      <c r="C5" s="4" t="inlineStr">
        <is>
          <t>Circuito abierto por sobretensión — la carga nunca se activa aunque la ECU envíe señal</t>
        </is>
      </c>
      <c r="D5" s="4" t="inlineStr">
        <is>
          <t>Multímetro modo DIODO. Medir entre S y D (positivo a S, negativo a D): debe ser circuito abierto. Con Gate negativo respecto a Source: debe conducir</t>
        </is>
      </c>
      <c r="E5" s="4" t="inlineStr">
        <is>
          <t>Sin Gate: OL. Con Gate: 0.4–0.7V (conducción)</t>
        </is>
      </c>
      <c r="F5" s="4" t="inlineStr">
        <is>
          <t>Continuidad permanente = cortocircuito. OL con Gate activado = componente abierto</t>
        </is>
      </c>
      <c r="G5" s="4" t="inlineStr">
        <is>
          <t>Verificar con datasheet del componente específico; el Part Number está impreso en el encapsulado (TO-252, DPAK, SOP-8)</t>
        </is>
      </c>
    </row>
    <row r="6" ht="48" customHeight="1">
      <c r="A6" s="9" t="inlineStr">
        <is>
          <t>Capacitor electrolítico (filtrado de voltaje)</t>
        </is>
      </c>
      <c r="B6" s="3" t="inlineStr">
        <is>
          <t>Filtrar ruido en la línea de +5V de referencia y en la alimentación principal de la ECU</t>
        </is>
      </c>
      <c r="C6" s="3" t="inlineStr">
        <is>
          <t>Hinchamiento de la parte superior (visible sin microscopio). Fuga de electrolito marrón/negro alrededor del cuerpo. Capacitancia reducida &gt;20% del valor nominal</t>
        </is>
      </c>
      <c r="D6" s="3" t="inlineStr">
        <is>
          <t>Multímetro en modo capacitancia (si disponible): medir valor en µF. Verificar si está hinchado visualmente. Medir resistencia: un capacitor en corto → 0 Ω</t>
        </is>
      </c>
      <c r="E6" s="3" t="inlineStr">
        <is>
          <t>Capacitancia dentro de ±20% del valor impreso. Sin hinchamiento. Resistencia inicial alta que sube al cargarse (rechazo)</t>
        </is>
      </c>
      <c r="F6" s="3" t="inlineStr">
        <is>
          <t>Capacitancia &lt;80% del nominal = degradado. Resistencia 0 Ω = cortocircuito. Hinchado = reemplazar inmediatamente</t>
        </is>
      </c>
      <c r="G6" s="3" t="inlineStr">
        <is>
          <t>Usar capacitores de temperatura alta (105°C o 125°C) al reemplazar en ECU de motor; nunca usar de 85°C (se degradan por calor del motor)</t>
        </is>
      </c>
    </row>
    <row r="7" ht="48" customHeight="1">
      <c r="A7" s="10" t="inlineStr">
        <is>
          <t>Capacitor cerámico (desacoplamiento)</t>
        </is>
      </c>
      <c r="B7" s="4" t="inlineStr">
        <is>
          <t>Filtrar alta frecuencia (EMI) en líneas de alimentación de microcontroladores y circuitos digitales</t>
        </is>
      </c>
      <c r="C7" s="4" t="inlineStr">
        <is>
          <t>Cortocircuito (fractura por estrés mecánico o choque térmico) — fusible de ECU se funde instantáneamente al dar contacto</t>
        </is>
      </c>
      <c r="D7" s="4" t="inlineStr">
        <is>
          <t>Multímetro en modo resistencia: medir entre pines. Capacitor cerámico sano: resistencia muy alta (MΩ). En corto: 0 Ω</t>
        </is>
      </c>
      <c r="E7" s="4" t="inlineStr">
        <is>
          <t>Resistencia MΩ o mayor (prácticamente circuito abierto a DC)</t>
        </is>
      </c>
      <c r="F7" s="4" t="inlineStr">
        <is>
          <t>Resistencia 0 Ω o muy baja = capacitor en cortocircuito → reemplazar (son baratos, $0.50–$5 MX)</t>
        </is>
      </c>
      <c r="G7" s="4" t="inlineStr">
        <is>
          <t>Identificar con microscopio el capacitor en corto: desconectar uno por uno hasta que la resistencia del rail de 5V deje de ser 0</t>
        </is>
      </c>
    </row>
    <row r="8" ht="48" customHeight="1">
      <c r="A8" s="9" t="inlineStr">
        <is>
          <t>Transistor BJT NPN (señal de control)</t>
        </is>
      </c>
      <c r="B8" s="3" t="inlineStr">
        <is>
          <t>Amplificar y conmutar señales de baja corriente para activar relés y activar stages de MOSFET</t>
        </is>
      </c>
      <c r="C8" s="3" t="inlineStr">
        <is>
          <t>Saturación permanente (base-colector en corto) — la señal de control siempre activa el actuador</t>
        </is>
      </c>
      <c r="D8" s="3" t="inlineStr">
        <is>
          <t>Multímetro modo DIODO. B→E: debe conducir 0.6–0.7V. B→C: debe conducir 0.5–0.7V. C→E sin base: debe ser OL (circuito abierto)</t>
        </is>
      </c>
      <c r="E8" s="3" t="inlineStr">
        <is>
          <t>B-E: 0.6–0.7V. B-C: 0.5–0.7V. C-E sin base: OL</t>
        </is>
      </c>
      <c r="F8" s="3" t="inlineStr">
        <is>
          <t>C-E con continuidad sin base = transistor en corto (saturado). OL en B-E = transistor abierto/muerto</t>
        </is>
      </c>
      <c r="G8" s="3" t="inlineStr">
        <is>
          <t>Los BJTs de señal (BC337, 2N2222) son intercambiables si tienen mismo pinout; verificar datasheet antes de soldar</t>
        </is>
      </c>
    </row>
    <row r="9" ht="48" customHeight="1">
      <c r="A9" s="10" t="inlineStr">
        <is>
          <t>Diodo zener (protección de sobrevoltaje)</t>
        </is>
      </c>
      <c r="B9" s="4" t="inlineStr">
        <is>
          <t>Proteger circuitos de la ECU contra picos de voltaje transitorios (load dump, inductivo)</t>
        </is>
      </c>
      <c r="C9" s="4" t="inlineStr">
        <is>
          <t>Cortocircuito permanente por un pico de voltaje que excedió su capacidad — el circuito protegido queda sin voltaje</t>
        </is>
      </c>
      <c r="D9" s="4" t="inlineStr">
        <is>
          <t>Multímetro modo DIODO. Directo (anodo+, catodo-): 0.5–0.7V. Inverso: OL (circuito abierto en voltaje de prueba del multímetro)</t>
        </is>
      </c>
      <c r="E9" s="4" t="inlineStr">
        <is>
          <t>Directo: 0.5–0.7V. Inverso: OL</t>
        </is>
      </c>
      <c r="F9" s="4" t="inlineStr">
        <is>
          <t>Directo: 0 Ω (corto total) = diodo fundido. Inverso: también conduce = fallo catastrófico</t>
        </is>
      </c>
      <c r="G9" s="4" t="inlineStr">
        <is>
          <t>Al reemplazar un zener: verificar el voltaje zener (Vz) impreso en el cuerpo o en datasheet; elegir el mismo Vz (5.1V, 12V, etc.)</t>
        </is>
      </c>
    </row>
    <row r="10" ht="48" customHeight="1">
      <c r="A10" s="9" t="inlineStr">
        <is>
          <t>Oscilador de cristal (reloj ECU)</t>
        </is>
      </c>
      <c r="B10" s="3" t="inlineStr">
        <is>
          <t>Generar la frecuencia de reloj base del microcontrolador (4–20 MHz típico)</t>
        </is>
      </c>
      <c r="C10" s="3" t="inlineStr">
        <is>
          <t>Sin oscilación por golpe físico o humedad — la ECU no inicia aunque tenga voltaje y ground correctos</t>
        </is>
      </c>
      <c r="D10" s="3" t="inlineStr">
        <is>
          <t>Osciloscopio en los pines del cristal: debe verse una señal sinusoidal a la frecuencia del cristal. Multímetro: no aplica para cristales</t>
        </is>
      </c>
      <c r="E10" s="3" t="inlineStr">
        <is>
          <t>Señal sinusoidal limpia a frecuencia nominal (impresa en el cuerpo: 8.0 MHz, 16.0 MHz, etc.)</t>
        </is>
      </c>
      <c r="F10" s="3" t="inlineStr">
        <is>
          <t>Sin señal o señal distorsionada = cristal dañado o condensadores de carga (22 pF) degradados</t>
        </is>
      </c>
      <c r="G10" s="3" t="inlineStr">
        <is>
          <t>Reemplazar con cristal de EXACTA misma frecuencia y carga (pF). Error de frecuencia = ECU funciona con calibraciones de tiempo incorrectas</t>
        </is>
      </c>
    </row>
    <row r="12" ht="20" customHeight="1">
      <c r="A12" s="1" t="inlineStr">
        <is>
          <t>DIAGNÓSTICO DE FALLAS INTERMITENTES — Wiggle Test, Estrés Térmico y Osciloscopio</t>
        </is>
      </c>
    </row>
    <row r="13">
      <c r="A13" s="2" t="inlineStr">
        <is>
          <t>Técnica</t>
        </is>
      </c>
      <c r="B13" s="2" t="inlineStr">
        <is>
          <t>Descripción del Procedimiento</t>
        </is>
      </c>
      <c r="C13" s="2" t="inlineStr">
        <is>
          <t>Qué Buscar</t>
        </is>
      </c>
      <c r="D13" s="2" t="inlineStr">
        <is>
          <t>Herramienta Requerida</t>
        </is>
      </c>
      <c r="E13" s="2" t="inlineStr">
        <is>
          <t>Causas que Detecta</t>
        </is>
      </c>
      <c r="F13" s="2" t="inlineStr">
        <is>
          <t>Limitaciones</t>
        </is>
      </c>
      <c r="G13" s="2" t="inlineStr">
        <is>
          <t>Ejemplo Práctico</t>
        </is>
      </c>
    </row>
    <row r="14" ht="52" customHeight="1">
      <c r="A14" s="12" t="inlineStr">
        <is>
          <t>Wiggle Test (Prueba de Sacudida)</t>
        </is>
      </c>
      <c r="B14" s="3" t="inlineStr">
        <is>
          <t>Con escáner en Live Data o osciloscopio monitoreando la señal del circuito sospechoso, mover y sacudir manualmente tramos del mazo de cables y cada conector</t>
        </is>
      </c>
      <c r="C14" s="3" t="inlineStr">
        <is>
          <t>Salto repentino en la gráfica de voltaje (glitch) que coincide con el movimiento del cable = falla encontrada</t>
        </is>
      </c>
      <c r="D14" s="3" t="inlineStr">
        <is>
          <t>Escáner con gráfica en tiempo real O osciloscopio automotriz. Asistente que sacuda mientras el técnico observa la pantalla</t>
        </is>
      </c>
      <c r="E14" s="3" t="inlineStr">
        <is>
          <t>Cable roto internamente (fatiga de cobre). Terminal flojo o corrroido dentro del conector. Conector no completamente acoplado (CPA no cerrado)</t>
        </is>
      </c>
      <c r="F14" s="3" t="inlineStr">
        <is>
          <t>No detecta fallas que solo ocurren bajo temperatura extrema o vibración de alta frecuencia del motor. Requiere acceso físico al mazo</t>
        </is>
      </c>
      <c r="G14" s="3" t="inlineStr">
        <is>
          <t>Cable del sensor CMP que produce P0340 solo en carretera: hacer wiggle en el mazo del árbol de levas en ralentí — si causa el código = cable roto interno</t>
        </is>
      </c>
    </row>
    <row r="15" ht="52" customHeight="1">
      <c r="A15" s="13" t="inlineStr">
        <is>
          <t>Estrés Térmico (Calor)</t>
        </is>
      </c>
      <c r="B15" s="4" t="inlineStr">
        <is>
          <t>Usar pistola de aire caliente (heat gun) a 60–80°C para calentar el módulo, conector o sección del mazo sospechoso mientras se monitorea la señal</t>
        </is>
      </c>
      <c r="C15" s="4" t="inlineStr">
        <is>
          <t>La falla aparece o desaparece al aplicar calor = componente con falla por expansión térmica (soldadura fría, capacitor degradado)</t>
        </is>
      </c>
      <c r="D15" s="4" t="inlineStr">
        <is>
          <t>Pistola de aire caliente + osciloscopio/escáner. Temperatura de trabajo: 60–80°C (no dañar componentes)</t>
        </is>
      </c>
      <c r="E15" s="4" t="inlineStr">
        <is>
          <t>Soldaduras frías que se abren al expandirse por calor. Capacitores electrolíticos que fallan en caliente. Resistencias que cambian valor con temperatura</t>
        </is>
      </c>
      <c r="F15" s="4" t="inlineStr">
        <is>
          <t>No usar cerca de componentes plásticos o mazo completo; focalizar en el componente específico sospechoso</t>
        </is>
      </c>
      <c r="G15" s="4" t="inlineStr">
        <is>
          <t>ECU que falla solo con motor caliente: calentar la ECU con heat gun — si fallo reaparece = soldadura fría en la placa de la ECU</t>
        </is>
      </c>
    </row>
    <row r="16" ht="52" customHeight="1">
      <c r="A16" s="12" t="inlineStr">
        <is>
          <t>Estrés Térmico (Frío)</t>
        </is>
      </c>
      <c r="B16" s="3" t="inlineStr">
        <is>
          <t>Aplicar spray frío (congelante electrónico / aire comprimido invertido) al componente o sección sospechosa</t>
        </is>
      </c>
      <c r="C16" s="3" t="inlineStr">
        <is>
          <t>La falla aparece al enfriar = componente con falla por contracción (grieta que se cierra en frío y se abre en caliente)</t>
        </is>
      </c>
      <c r="D16" s="3" t="inlineStr">
        <is>
          <t>Spray congelante electrónico (no agua, no acetona). Osciloscopio para capturar el momento del fallo</t>
        </is>
      </c>
      <c r="E16" s="3" t="inlineStr">
        <is>
          <t>Componentes que fallan solo en arranques en frío. Condensadores cerámicos con grietas internas. Pistas de PCB con microgrietas</t>
        </is>
      </c>
      <c r="F16" s="3" t="inlineStr">
        <is>
          <t>El spray puede dañar componentes si se aplica en exceso o en componentes sensibles a humedad. Usar con precaución</t>
        </is>
      </c>
      <c r="G16" s="3" t="inlineStr">
        <is>
          <t>Motor que no arranca solo en frío extremo (&lt;5°C): enfriar el CKP sensor con spray — si reaparece DTC = sensor con falla por temperatura</t>
        </is>
      </c>
    </row>
    <row r="17" ht="52" customHeight="1">
      <c r="A17" s="13" t="inlineStr">
        <is>
          <t>Captura de Glitch con Osciloscopio</t>
        </is>
      </c>
      <c r="B17" s="4" t="inlineStr">
        <is>
          <t>Configurar osciloscopio en modo 'Single Trigger' o 'Peak Detect' para capturar eventos que duran microsegundos. Trigger en el valor límite de la señal normal</t>
        </is>
      </c>
      <c r="C17" s="4" t="inlineStr">
        <is>
          <t>Glitch de voltaje que el multímetro no puede ver. Runt pulse (pulso que no alcanza el umbral lógico). Ruido de alta frecuencia superpuesto a la señal</t>
        </is>
      </c>
      <c r="D17" s="4" t="inlineStr">
        <is>
          <t>Osciloscopio automotriz (PicoScope 4225, ATS5004D, o similar) con tasa de muestreo &gt;1 MSa/s</t>
        </is>
      </c>
      <c r="E17" s="4" t="inlineStr">
        <is>
          <t>Problemas de tierra (ground offset). Interferencia EMI. Cable con alta resistencia que distorsiona la señal. MOSFET de ECU en fallo parcial</t>
        </is>
      </c>
      <c r="F17" s="4" t="inlineStr">
        <is>
          <t>Requiere conocer la señal normal del circuito para identificar la anomalía. Costo del osciloscopio puede ser un obstáculo</t>
        </is>
      </c>
      <c r="G17" s="4" t="inlineStr">
        <is>
          <t>P0340 intermitente: conectar canal CH1 en señal CMP, CH2 en alimentación 5V — capturar con Single Trigger cuando aparece el DTC</t>
        </is>
      </c>
    </row>
    <row r="18" ht="52" customHeight="1">
      <c r="A18" s="12" t="inlineStr">
        <is>
          <t>Runt Pulse Detection</t>
        </is>
      </c>
      <c r="B18" s="3" t="inlineStr">
        <is>
          <t>Pulsos digitales que no alcanzan el voltaje umbral del receptor lógico (típicamente 2.5V para señales de 5V). La ECU los ignora → señal 'ausente' intermitentemente</t>
        </is>
      </c>
      <c r="C18" s="3" t="inlineStr">
        <is>
          <t>En osciloscopio: pulsos que deberían llegar a 5V pero solo alcanzan 1.5–2V. La ECU los interpreta como 0 lógico → DTC de señal ausente</t>
        </is>
      </c>
      <c r="D18" s="3" t="inlineStr">
        <is>
          <t>Osciloscopio con función de medición de amplitud por pulso. PicoScope tiene función automática de detección de runt pulses</t>
        </is>
      </c>
      <c r="E18" s="3" t="inlineStr">
        <is>
          <t>Alta resistencia en el cableado. Conector con terminal oxidado. Alimentación de referencia con caída de voltaje (resistencia de masa)</t>
        </is>
      </c>
      <c r="F18" s="3" t="inlineStr">
        <is>
          <t>Requiere osciloscopio con función específica; básico solo con voltímetro: medir caída de voltaje en el cable de señal bajo carga</t>
        </is>
      </c>
      <c r="G18" s="3" t="inlineStr">
        <is>
          <t>Sensor CKP que genera P0335 intermitente: si señal en osciloscopio solo llega a 1.8V en lugar de 5V = alta resistencia en el cable de señal</t>
        </is>
      </c>
    </row>
    <row r="19" ht="52" customHeight="1">
      <c r="A19" s="13" t="inlineStr">
        <is>
          <t>Test de Tierra con Osciloscopio (Ground Offset)</t>
        </is>
      </c>
      <c r="B19" s="4" t="inlineStr">
        <is>
          <t>Conectar canal del osciloscopio entre la tierra del componente (pin GND del sensor) y el borne negativo de la batería. Motor en funcionamiento</t>
        </is>
      </c>
      <c r="C19" s="4" t="inlineStr">
        <is>
          <t>Fluctuación de voltaje &gt;50 mV (0.05V) en la línea de tierra = tierra deficiente que contamina la señal del sensor con ruido del motor</t>
        </is>
      </c>
      <c r="D19" s="4" t="inlineStr">
        <is>
          <t>Osciloscopio en modo AC acoplado para ver solo el ruido, sin el componente DC</t>
        </is>
      </c>
      <c r="E19" s="4" t="inlineStr">
        <is>
          <t>Masa deficiente compartida entre motor y sensor. Pista de tierra interna de ECU con alta resistencia. Masa del motor rota o suelta</t>
        </is>
      </c>
      <c r="F19" s="4" t="inlineStr">
        <is>
          <t>Solo detecta problemas de tierra; no indica otros problemas del circuito</t>
        </is>
      </c>
      <c r="G19" s="4" t="inlineStr">
        <is>
          <t>MAF con lectura errática de 0.5V oscilando ±0.3V: verificar ground offset — si hay 0.2V de ruido en tierra del MAF = reparar punto de masa del MAF</t>
        </is>
      </c>
    </row>
    <row r="20">
      <c r="A20" s="11" t="n"/>
      <c r="B20" s="11" t="n"/>
      <c r="C20" s="11" t="n"/>
      <c r="D20" s="11" t="n"/>
      <c r="E20" s="11" t="n"/>
      <c r="F20" s="11" t="n"/>
      <c r="G20" s="11" t="n"/>
    </row>
  </sheetData>
  <mergeCells count="3">
    <mergeCell ref="A2:G2"/>
    <mergeCell ref="A1:G1"/>
    <mergeCell ref="A12:G12"/>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18" customWidth="1" min="1" max="1"/>
    <col width="18" customWidth="1" min="2" max="2"/>
    <col width="28" customWidth="1" min="3" max="3"/>
    <col width="14" customWidth="1" min="4" max="4"/>
    <col width="24" customWidth="1" min="5" max="5"/>
    <col width="48" customWidth="1" min="6" max="6"/>
  </cols>
  <sheetData>
    <row r="1" ht="24" customHeight="1">
      <c r="A1" s="1" t="inlineStr">
        <is>
          <t>FAMILIAS DE ECU BOSCH — Identificación por Prefijo, Aplicación y Protocolo</t>
        </is>
      </c>
    </row>
    <row r="2" ht="30" customHeight="1">
      <c r="A2" s="2" t="inlineStr">
        <is>
          <t>Familia ECU</t>
        </is>
      </c>
      <c r="B2" s="2" t="inlineStr">
        <is>
          <t>Prefijo Bosch</t>
        </is>
      </c>
      <c r="C2" s="2" t="inlineStr">
        <is>
          <t>Aplicación / OEM</t>
        </is>
      </c>
      <c r="D2" s="2" t="inlineStr">
        <is>
          <t>Tipo Motor</t>
        </is>
      </c>
      <c r="E2" s="2" t="inlineStr">
        <is>
          <t>Protocolo Comunicación</t>
        </is>
      </c>
      <c r="F2" s="2" t="inlineStr">
        <is>
          <t>Notas Técnicas</t>
        </is>
      </c>
    </row>
    <row r="3" ht="44" customHeight="1">
      <c r="A3" s="16" t="inlineStr">
        <is>
          <t>EDC15 (P, V, VM)</t>
        </is>
      </c>
      <c r="B3" s="3" t="inlineStr">
        <is>
          <t>0 281 0xx</t>
        </is>
      </c>
      <c r="C3" s="3" t="inlineStr">
        <is>
          <t>VW, Audi, SEAT — motores TDI PD (bomba unitaria)</t>
        </is>
      </c>
      <c r="D3" s="3" t="inlineStr">
        <is>
          <t>Diesel</t>
        </is>
      </c>
      <c r="E3" s="3" t="inlineStr">
        <is>
          <t>K-Line (ISO 9141-2)</t>
        </is>
      </c>
      <c r="F3" s="3" t="inlineStr">
        <is>
          <t>Diagnóstico vía KW1281/KWP2000; sin CAN; máx velocidad 10.4 kbps; conector de 2 pines en mazo diagnóstico</t>
        </is>
      </c>
    </row>
    <row r="4" ht="44" customHeight="1">
      <c r="A4" s="17" t="inlineStr">
        <is>
          <t>EDC16 (U1, CP34)</t>
        </is>
      </c>
      <c r="B4" s="4" t="inlineStr">
        <is>
          <t>0 281 1xx</t>
        </is>
      </c>
      <c r="C4" s="4" t="inlineStr">
        <is>
          <t>VAG, Mercedes CDI, BMW 330d/520d</t>
        </is>
      </c>
      <c r="D4" s="4" t="inlineStr">
        <is>
          <t>Diesel</t>
        </is>
      </c>
      <c r="E4" s="4" t="inlineStr">
        <is>
          <t>K-Line + CAN High-Low (dual)</t>
        </is>
      </c>
      <c r="F4" s="4" t="inlineStr">
        <is>
          <t>Transición: algunos canales por K-Line, motor/transmisión por CAN 500 kbps; primer EDC con CAN integrado</t>
        </is>
      </c>
    </row>
    <row r="5" ht="44" customHeight="1">
      <c r="A5" s="16" t="inlineStr">
        <is>
          <t>EDC17 (CP14, CPxx)</t>
        </is>
      </c>
      <c r="B5" s="3" t="inlineStr">
        <is>
          <t>0 281 2xx / 3xx</t>
        </is>
      </c>
      <c r="C5" s="3" t="inlineStr">
        <is>
          <t>VAG grupo, BMW N47/N57, Ford TDCi, Renault</t>
        </is>
      </c>
      <c r="D5" s="3" t="inlineStr">
        <is>
          <t>Diesel</t>
        </is>
      </c>
      <c r="E5" s="3" t="inlineStr">
        <is>
          <t>CAN Bus Alta Velocidad (500 kbps–1 Mbps)</t>
        </is>
      </c>
      <c r="F5" s="3" t="inlineStr">
        <is>
          <t>Full CAN; sin K-Line diagnóstico; requiere adaptador OBD2 con CAN activo; reprogramación solo vía J2534</t>
        </is>
      </c>
    </row>
    <row r="6" ht="44" customHeight="1">
      <c r="A6" s="17" t="inlineStr">
        <is>
          <t>MED17</t>
        </is>
      </c>
      <c r="B6" s="4" t="inlineStr">
        <is>
          <t>0 261 S0x</t>
        </is>
      </c>
      <c r="C6" s="4" t="inlineStr">
        <is>
          <t>VW TSI/TFSI, BMW N20/N55, Mercedes M270</t>
        </is>
      </c>
      <c r="D6" s="4" t="inlineStr">
        <is>
          <t>Gasolina GDI</t>
        </is>
      </c>
      <c r="E6" s="4" t="inlineStr">
        <is>
          <t>CAN Bus (500 kbps)</t>
        </is>
      </c>
      <c r="F6" s="4" t="inlineStr">
        <is>
          <t>Gestión inyección directa gasolina; integra control turbo, lambda wideband y EVAP en un solo módulo</t>
        </is>
      </c>
    </row>
    <row r="7" ht="44" customHeight="1">
      <c r="A7" s="16" t="inlineStr">
        <is>
          <t>ME 7.1.1</t>
        </is>
      </c>
      <c r="B7" s="3" t="inlineStr">
        <is>
          <t>0 261 206 xxx</t>
        </is>
      </c>
      <c r="C7" s="3" t="inlineStr">
        <is>
          <t>VAG 1.8T (AEB/AWM), Porsche Boxster/911 3.4</t>
        </is>
      </c>
      <c r="D7" s="3" t="inlineStr">
        <is>
          <t>Gasolina</t>
        </is>
      </c>
      <c r="E7" s="3" t="inlineStr">
        <is>
          <t>K-Line / CAN (dual según año)</t>
        </is>
      </c>
      <c r="F7" s="3" t="inlineStr">
        <is>
          <t>Muy común en taller; IMMO II/III; sensor MAF de hilo caliente Bosch HFM5; chip Motorola MPC555</t>
        </is>
      </c>
    </row>
    <row r="8" ht="44" customHeight="1">
      <c r="A8" s="17" t="inlineStr">
        <is>
          <t>ME 7.5.10</t>
        </is>
      </c>
      <c r="B8" s="4" t="inlineStr">
        <is>
          <t>0 261 208 xxx</t>
        </is>
      </c>
      <c r="C8" s="4" t="inlineStr">
        <is>
          <t>VW Golf A4 2.0L, Jetta A4 2.0L (MX)</t>
        </is>
      </c>
      <c r="D8" s="4" t="inlineStr">
        <is>
          <t>Gasolina</t>
        </is>
      </c>
      <c r="E8" s="4" t="inlineStr">
        <is>
          <t>K-Line (principal) + CAN</t>
        </is>
      </c>
      <c r="F8" s="4" t="inlineStr">
        <is>
          <t>Muy frecuente en México; IMMO II; chip MPC565; 121 pines; fuente referencia interna 5V precisión 0.1%</t>
        </is>
      </c>
    </row>
    <row r="9" ht="44" customHeight="1">
      <c r="A9" s="16" t="inlineStr">
        <is>
          <t>SID 206</t>
        </is>
      </c>
      <c r="B9" s="3" t="inlineStr">
        <is>
          <t>5WS40 xxx (Siemens)</t>
        </is>
      </c>
      <c r="C9" s="3" t="inlineStr">
        <is>
          <t>Ford Focus/Mondeo TDCi, Volvo D5</t>
        </is>
      </c>
      <c r="D9" s="3" t="inlineStr">
        <is>
          <t>Diesel</t>
        </is>
      </c>
      <c r="E9" s="3" t="inlineStr">
        <is>
          <t>CAN Bus</t>
        </is>
      </c>
      <c r="F9" s="3" t="inlineStr">
        <is>
          <t>Fabricado por Siemens/Continental; no Bosch; pin 6=CAN-H, pin 14=CAN-L estándar OBD2</t>
        </is>
      </c>
    </row>
    <row r="10" ht="44" customHeight="1">
      <c r="A10" s="17" t="inlineStr">
        <is>
          <t>ME 9.0</t>
        </is>
      </c>
      <c r="B10" s="4" t="inlineStr">
        <is>
          <t>0 261 208 xxx</t>
        </is>
      </c>
      <c r="C10" s="4" t="inlineStr">
        <is>
          <t>Ford Mustang 4.6L, Explorer V6 (variante)</t>
        </is>
      </c>
      <c r="D10" s="4" t="inlineStr">
        <is>
          <t>Gasolina</t>
        </is>
      </c>
      <c r="E10" s="4" t="inlineStr">
        <is>
          <t>CAN Bus</t>
        </is>
      </c>
      <c r="F10" s="4" t="inlineStr">
        <is>
          <t>Bosch para Ford NA; migración completa a CAN; sin K-Line; programación con VCM2 Ford o J2534 compatible</t>
        </is>
      </c>
    </row>
    <row r="11" ht="44" customHeight="1">
      <c r="A11" s="16" t="inlineStr">
        <is>
          <t>SIMOS 18 / 19</t>
        </is>
      </c>
      <c r="B11" s="3" t="inlineStr">
        <is>
          <t>5Q0 906 xxx (VW OEM)</t>
        </is>
      </c>
      <c r="C11" s="3" t="inlineStr">
        <is>
          <t>VW Golf MK7/8, Seat León III, Skoda Octavia III</t>
        </is>
      </c>
      <c r="D11" s="3" t="inlineStr">
        <is>
          <t>Gasolina TSI EA888</t>
        </is>
      </c>
      <c r="E11" s="3" t="inlineStr">
        <is>
          <t>CAN-FD + Automotive Ethernet DoIP</t>
        </is>
      </c>
      <c r="F11" s="3" t="inlineStr">
        <is>
          <t>Continental AG; identificación por número OEM VW; reprogramación requiere ODIS + licencia VAS</t>
        </is>
      </c>
    </row>
    <row r="12" ht="44" customHeight="1">
      <c r="A12" s="17" t="inlineStr">
        <is>
          <t>Denso Gen4</t>
        </is>
      </c>
      <c r="B12" s="4" t="inlineStr">
        <is>
          <t>89661-xxx (Toyota)</t>
        </is>
      </c>
      <c r="C12" s="4" t="inlineStr">
        <is>
          <t>Toyota Hilux Revo 1GD-FTV, Corolla 2ZR</t>
        </is>
      </c>
      <c r="D12" s="4" t="inlineStr">
        <is>
          <t>Diesel/Gasolina</t>
        </is>
      </c>
      <c r="E12" s="4" t="inlineStr">
        <is>
          <t>CAN Bus + ISO 15765-4</t>
        </is>
      </c>
      <c r="F12" s="4" t="inlineStr">
        <is>
          <t>Pin 7=K-Line legacy; Pin 6/14=CAN; diagnóstico dual; reprogramación TIS Techstream o J2534</t>
        </is>
      </c>
    </row>
  </sheetData>
  <mergeCells count="1">
    <mergeCell ref="A1:F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0"/>
  <sheetViews>
    <sheetView showGridLines="0" workbookViewId="0">
      <selection activeCell="A1" sqref="A1"/>
    </sheetView>
  </sheetViews>
  <sheetFormatPr baseColWidth="8" defaultRowHeight="15"/>
  <cols>
    <col width="18" customWidth="1" min="1" max="1"/>
    <col width="18" customWidth="1" min="2" max="2"/>
    <col width="18" customWidth="1" min="3" max="3"/>
    <col width="44" customWidth="1" min="4" max="4"/>
    <col width="30" customWidth="1" min="5" max="5"/>
    <col width="42" customWidth="1" min="6" max="6"/>
  </cols>
  <sheetData>
    <row r="1" ht="24" customHeight="1">
      <c r="A1" s="1" t="inlineStr">
        <is>
          <t>CONECTORES AUTOMOTRICES — Tipos, TPA/CPA y Mecanismos de Bloqueo</t>
        </is>
      </c>
    </row>
    <row r="2" ht="30" customHeight="1">
      <c r="A2" s="2" t="inlineStr">
        <is>
          <t>Estilo/Serie</t>
        </is>
      </c>
      <c r="B2" s="2" t="inlineStr">
        <is>
          <t>Fabricante</t>
        </is>
      </c>
      <c r="C2" s="2" t="inlineStr">
        <is>
          <t>Protección IP / Temp</t>
        </is>
      </c>
      <c r="D2" s="2" t="inlineStr">
        <is>
          <t>Características Técnicas</t>
        </is>
      </c>
      <c r="E2" s="2" t="inlineStr">
        <is>
          <t>Aplicación Común</t>
        </is>
      </c>
      <c r="F2" s="2" t="inlineStr">
        <is>
          <t>Mecanismo de Bloqueo</t>
        </is>
      </c>
    </row>
    <row r="3" ht="48" customHeight="1">
      <c r="A3" s="16" t="inlineStr">
        <is>
          <t>Compact / Trapez</t>
        </is>
      </c>
      <c r="B3" s="3" t="inlineStr">
        <is>
          <t>Bosch</t>
        </is>
      </c>
      <c r="C3" s="3" t="inlineStr">
        <is>
          <t>IP-X9K / -40°C a +125°C</t>
        </is>
      </c>
      <c r="D3" s="3" t="inlineStr">
        <is>
          <t>Resistencia a vibración 40g; terminal pin/hembra de latón estañado o dorado; hasta 3 mm² por pin</t>
        </is>
      </c>
      <c r="E3" s="3" t="inlineStr">
        <is>
          <t>Sensores y actuadores de motor, MAF, TPS, bobinas COP</t>
        </is>
      </c>
      <c r="F3" s="3" t="inlineStr">
        <is>
          <t>TPA (Terminal Position Assurance) verde/rojo — cierra solo si todos los pines están insertados</t>
        </is>
      </c>
    </row>
    <row r="4" ht="48" customHeight="1">
      <c r="A4" s="17" t="inlineStr">
        <is>
          <t>Mini-Fit Jr.</t>
        </is>
      </c>
      <c r="B4" s="4" t="inlineStr">
        <is>
          <t>Molex</t>
        </is>
      </c>
      <c r="C4" s="4" t="inlineStr">
        <is>
          <t>IP54 / -40°C a +105°C</t>
        </is>
      </c>
      <c r="D4" s="4" t="inlineStr">
        <is>
          <t>Terminales aislados; bloqueo positivo audible; hasta 10.5A por pin; paso 4.2 mm</t>
        </is>
      </c>
      <c r="E4" s="4" t="inlineStr">
        <is>
          <t>Módulos internos, audio, BCM, CAN gateway</t>
        </is>
      </c>
      <c r="F4" s="4" t="inlineStr">
        <is>
          <t>CPA (Connector Position Assurance) integrado; traba secundaria que previene desacoplado accidental</t>
        </is>
      </c>
    </row>
    <row r="5" ht="48" customHeight="1">
      <c r="A5" s="16" t="inlineStr">
        <is>
          <t>Deutsch DT / DTM</t>
        </is>
      </c>
      <c r="B5" s="3" t="inlineStr">
        <is>
          <t>TE Connectivity</t>
        </is>
      </c>
      <c r="C5" s="3" t="inlineStr">
        <is>
          <t>IP68 / -55°C a +125°C</t>
        </is>
      </c>
      <c r="D5" s="3" t="inlineStr">
        <is>
          <t>Carcasa PA66 GF30; sellos de silicona por cable y en cara de conector; para pin hasta 13A (DTM) / 25A (DT)</t>
        </is>
      </c>
      <c r="E5" s="3" t="inlineStr">
        <is>
          <t>Maquinaria pesada, trucks Kenworth/Scania, vehículos militares, motorsport</t>
        </is>
      </c>
      <c r="F5" s="3" t="inlineStr">
        <is>
          <t>Latch de bayoneta con anillo de cierre; requiere herramienta de extracción de pines (HDT-48-00)</t>
        </is>
      </c>
    </row>
    <row r="6" ht="48" customHeight="1">
      <c r="A6" s="17" t="inlineStr">
        <is>
          <t>WeatherPack</t>
        </is>
      </c>
      <c r="B6" s="4" t="inlineStr">
        <is>
          <t>Delphi / Aptiv</t>
        </is>
      </c>
      <c r="C6" s="4" t="inlineStr">
        <is>
          <t>IP67 / -40°C a +125°C</t>
        </is>
      </c>
      <c r="D6" s="4" t="inlineStr">
        <is>
          <t>Sello individual por cable (grommet); clic audible; terminal de aluminio estañado; paso 2.8 mm</t>
        </is>
      </c>
      <c r="E6" s="4" t="inlineStr">
        <is>
          <t>Conexiones expuestas al motor: sensores O2, lambda, CKP/CMP</t>
        </is>
      </c>
      <c r="F6" s="4" t="inlineStr">
        <is>
          <t>TPA secundaria de color; extracción de terminal con herramienta J-38125 (GM) o equivalente</t>
        </is>
      </c>
    </row>
    <row r="7" ht="48" customHeight="1">
      <c r="A7" s="16" t="inlineStr">
        <is>
          <t>DuraClik</t>
        </is>
      </c>
      <c r="B7" s="3" t="inlineStr">
        <is>
          <t>Molex</t>
        </is>
      </c>
      <c r="C7" s="3" t="inlineStr">
        <is>
          <t>IP54 / -40°C a +125°C</t>
        </is>
      </c>
      <c r="D7" s="3" t="inlineStr">
        <is>
          <t>ISL (Individual Secondary Lock) independiente del TPA; resistente hasta 125°C continuo; paso 2.5 mm</t>
        </is>
      </c>
      <c r="E7" s="3" t="inlineStr">
        <is>
          <t>Dirección EPS, luces LED matriciales, módulos airbag laterales</t>
        </is>
      </c>
      <c r="F7" s="3" t="inlineStr">
        <is>
          <t>Bloqueo secundario ISL de color brillante (naranja); primer TPA en insertar antes de cerrar ISL</t>
        </is>
      </c>
    </row>
    <row r="8" ht="48" customHeight="1">
      <c r="A8" s="17" t="inlineStr">
        <is>
          <t>Fakra (HSD)</t>
        </is>
      </c>
      <c r="B8" s="4" t="inlineStr">
        <is>
          <t>Rosenberger / Amphenol</t>
        </is>
      </c>
      <c r="C8" s="4" t="inlineStr">
        <is>
          <t>IP67 / -40°C a +125°C</t>
        </is>
      </c>
      <c r="D8" s="4" t="inlineStr">
        <is>
          <t>Conector coaxial 50Ω o 100Ω; código de color por función (antena, GPS, cámara); paso único</t>
        </is>
      </c>
      <c r="E8" s="4" t="inlineStr">
        <is>
          <t>Antena, GPS, cámaras, radar LiDAR, sistemas ADAS</t>
        </is>
      </c>
      <c r="F8" s="4" t="inlineStr">
        <is>
          <t>Bloqueo por snap + código de color de plástico (A=negro=radio, B=beige=teléfono, D=verde=GPS)</t>
        </is>
      </c>
    </row>
    <row r="9" ht="48" customHeight="1">
      <c r="A9" s="16" t="inlineStr">
        <is>
          <t>HSD (High Speed Data)</t>
        </is>
      </c>
      <c r="B9" s="3" t="inlineStr">
        <is>
          <t>Rosenberger</t>
        </is>
      </c>
      <c r="C9" s="3" t="inlineStr">
        <is>
          <t>IP54 / -40°C a +140°C</t>
        </is>
      </c>
      <c r="D9" s="3" t="inlineStr">
        <is>
          <t>4 pines; par diferencial 100Ω para LVDS/Ethernet 100Base-T1; blindaje integral; hasta 3 Gbps</t>
        </is>
      </c>
      <c r="E9" s="3" t="inlineStr">
        <is>
          <t>Cámaras ADAS, displays OLED, Automotive Ethernet punto a punto</t>
        </is>
      </c>
      <c r="F9" s="3" t="inlineStr">
        <is>
          <t>Push-pull con indicador de acoplamiento; requiere impedancia de 100Ω en todo el tramo</t>
        </is>
      </c>
    </row>
    <row r="10" ht="48" customHeight="1">
      <c r="A10" s="17" t="inlineStr">
        <is>
          <t>GT 150</t>
        </is>
      </c>
      <c r="B10" s="4" t="inlineStr">
        <is>
          <t>Yazaki</t>
        </is>
      </c>
      <c r="C10" s="4" t="inlineStr">
        <is>
          <t>IP67 / -40°C a +125°C</t>
        </is>
      </c>
      <c r="D10" s="4" t="inlineStr">
        <is>
          <t>Terminal de 2.8 mm paso; hasta 18A; usado en Toyota/Lexus/Honda como estándar OEM japonés</t>
        </is>
      </c>
      <c r="E10" s="4" t="inlineStr">
        <is>
          <t>BCM, módulos de puerta, control de ventanas, cierre centralizado Toyota</t>
        </is>
      </c>
      <c r="F10" s="4" t="inlineStr">
        <is>
          <t>TPA de color azul; herramienta de extracción Yazaki 91170-0G060 o equivalente OEM</t>
        </is>
      </c>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1"/>
  <sheetViews>
    <sheetView showGridLines="0" workbookViewId="0">
      <selection activeCell="A1" sqref="A1"/>
    </sheetView>
  </sheetViews>
  <sheetFormatPr baseColWidth="8" defaultRowHeight="15"/>
  <cols>
    <col width="20" customWidth="1" min="1" max="1"/>
    <col width="26" customWidth="1" min="2" max="2"/>
    <col width="26" customWidth="1" min="3" max="3"/>
    <col width="20" customWidth="1" min="4" max="4"/>
    <col width="44" customWidth="1" min="5" max="5"/>
    <col width="24" customWidth="1" min="6" max="6"/>
  </cols>
  <sheetData>
    <row r="1" ht="24" customHeight="1">
      <c r="A1" s="1" t="inlineStr">
        <is>
          <t>COLORES DE CABLE POR FABRICANTE — Ford / GM / Toyota / Honda / VW / BMW</t>
        </is>
      </c>
    </row>
    <row r="2" ht="30" customHeight="1">
      <c r="A2" s="2" t="inlineStr">
        <is>
          <t>Fabricante</t>
        </is>
      </c>
      <c r="B2" s="2" t="inlineStr">
        <is>
          <t>Función del Circuito</t>
        </is>
      </c>
      <c r="C2" s="2" t="inlineStr">
        <is>
          <t>Color / Código</t>
        </is>
      </c>
      <c r="D2" s="2" t="inlineStr">
        <is>
          <t>Estándar</t>
        </is>
      </c>
      <c r="E2" s="2" t="inlineStr">
        <is>
          <t>Nota de Diagnóstico</t>
        </is>
      </c>
      <c r="F2" s="2" t="inlineStr">
        <is>
          <t>Ejemplo de Vehículo</t>
        </is>
      </c>
    </row>
    <row r="3" ht="40" customHeight="1">
      <c r="A3" s="16" t="inlineStr">
        <is>
          <t>SAE (Norteamérica)</t>
        </is>
      </c>
      <c r="B3" s="3" t="inlineStr">
        <is>
          <t>Alimentación B+</t>
        </is>
      </c>
      <c r="C3" s="14" t="inlineStr">
        <is>
          <t>Rojo (RD)</t>
        </is>
      </c>
      <c r="D3" s="3" t="inlineStr">
        <is>
          <t>SAE J1128</t>
        </is>
      </c>
      <c r="E3" s="3" t="inlineStr">
        <is>
          <t>Positivo directo batería; sección mínima 6 mm² en circuito principal</t>
        </is>
      </c>
      <c r="F3" s="3" t="inlineStr">
        <is>
          <t>Ford F-150, Silverado, Ram</t>
        </is>
      </c>
    </row>
    <row r="4" ht="40" customHeight="1">
      <c r="A4" s="17" t="inlineStr">
        <is>
          <t>SAE (Norteamérica)</t>
        </is>
      </c>
      <c r="B4" s="4" t="inlineStr">
        <is>
          <t>Tierra (GND)</t>
        </is>
      </c>
      <c r="C4" s="15" t="inlineStr">
        <is>
          <t>Negro (BK)</t>
        </is>
      </c>
      <c r="D4" s="4" t="inlineStr">
        <is>
          <t>SAE J1128</t>
        </is>
      </c>
      <c r="E4" s="4" t="inlineStr">
        <is>
          <t>Masa de chasis; verificar caída &lt;0.1V con carga activa</t>
        </is>
      </c>
      <c r="F4" s="4" t="inlineStr">
        <is>
          <t>Todos los norteamericanos</t>
        </is>
      </c>
    </row>
    <row r="5" ht="40" customHeight="1">
      <c r="A5" s="16" t="inlineStr">
        <is>
          <t>DIN/ISO (Europa)</t>
        </is>
      </c>
      <c r="B5" s="3" t="inlineStr">
        <is>
          <t>Tierra (GND)</t>
        </is>
      </c>
      <c r="C5" s="14" t="inlineStr">
        <is>
          <t>Marrón (BN)</t>
        </is>
      </c>
      <c r="D5" s="3" t="inlineStr">
        <is>
          <t>DIN 72552</t>
        </is>
      </c>
      <c r="E5" s="3" t="inlineStr">
        <is>
          <t>Masa universal VW/BMW; no usar negro para masa en VAG — confunde con señales</t>
        </is>
      </c>
      <c r="F5" s="3" t="inlineStr">
        <is>
          <t>VW, Audi, BMW, Mercedes</t>
        </is>
      </c>
    </row>
    <row r="6" ht="40" customHeight="1">
      <c r="A6" s="17" t="inlineStr">
        <is>
          <t>DIN/ISO (Europa)</t>
        </is>
      </c>
      <c r="B6" s="4" t="inlineStr">
        <is>
          <t>Alimentación KL30</t>
        </is>
      </c>
      <c r="C6" s="15" t="inlineStr">
        <is>
          <t>Rojo (RD)</t>
        </is>
      </c>
      <c r="D6" s="4" t="inlineStr">
        <is>
          <t>DIN 72552</t>
        </is>
      </c>
      <c r="E6" s="4" t="inlineStr">
        <is>
          <t>Positivo constante batería; siempre vivo aunque contacto apagado</t>
        </is>
      </c>
      <c r="F6" s="4" t="inlineStr">
        <is>
          <t>Golf, Passat, Tiguan</t>
        </is>
      </c>
    </row>
    <row r="7" ht="40" customHeight="1">
      <c r="A7" s="16" t="inlineStr">
        <is>
          <t>JASO (Japón)</t>
        </is>
      </c>
      <c r="B7" s="3" t="inlineStr">
        <is>
          <t>Tierra (GND)</t>
        </is>
      </c>
      <c r="C7" s="14" t="inlineStr">
        <is>
          <t>Blanco (WT)</t>
        </is>
      </c>
      <c r="D7" s="3" t="inlineStr">
        <is>
          <t>JASO D609</t>
        </is>
      </c>
      <c r="E7" s="3" t="inlineStr">
        <is>
          <t>Masa en vehículos japoneses; opuesto al blanco europeo (señal)</t>
        </is>
      </c>
      <c r="F7" s="3" t="inlineStr">
        <is>
          <t>Nissan, Mitsubishi (algunos modelos)</t>
        </is>
      </c>
    </row>
    <row r="8" ht="40" customHeight="1">
      <c r="A8" s="17" t="inlineStr">
        <is>
          <t>JASO (Japón)</t>
        </is>
      </c>
      <c r="B8" s="4" t="inlineStr">
        <is>
          <t>Alimentación constante</t>
        </is>
      </c>
      <c r="C8" s="15" t="inlineStr">
        <is>
          <t>Amarillo (YL)</t>
        </is>
      </c>
      <c r="D8" s="4" t="inlineStr">
        <is>
          <t>JASO D609</t>
        </is>
      </c>
      <c r="E8" s="4" t="inlineStr">
        <is>
          <t>Positivo B+ en Toyota/Honda; diferente de amarillo europeo (SRS)</t>
        </is>
      </c>
      <c r="F8" s="4" t="inlineStr">
        <is>
          <t>Toyota Corolla, Honda Civic JDM</t>
        </is>
      </c>
    </row>
    <row r="9" ht="40" customHeight="1">
      <c r="A9" s="16" t="inlineStr">
        <is>
          <t>Ford</t>
        </is>
      </c>
      <c r="B9" s="3" t="inlineStr">
        <is>
          <t>Luz de Giro/Freno Derecha</t>
        </is>
      </c>
      <c r="C9" s="14" t="inlineStr">
        <is>
          <t>Naranja con franja Azul (OG/BL)</t>
        </is>
      </c>
      <c r="D9" s="3" t="inlineStr">
        <is>
          <t>Ford WSS-M99P32</t>
        </is>
      </c>
      <c r="E9" s="3" t="inlineStr">
        <is>
          <t>Naranja=derecha; Verde=izquierda — regla mnemotécnica: naranja=sol=derecha</t>
        </is>
      </c>
      <c r="F9" s="3" t="inlineStr">
        <is>
          <t>F-150, Explorer, Mustang</t>
        </is>
      </c>
    </row>
    <row r="10" ht="40" customHeight="1">
      <c r="A10" s="17" t="inlineStr">
        <is>
          <t>Ford</t>
        </is>
      </c>
      <c r="B10" s="4" t="inlineStr">
        <is>
          <t>Luz de Giro/Freno Izquierda</t>
        </is>
      </c>
      <c r="C10" s="15" t="inlineStr">
        <is>
          <t>Verde Claro con franja Naranja (LG/OG)</t>
        </is>
      </c>
      <c r="D10" s="4" t="inlineStr">
        <is>
          <t>Ford WSS-M99P32</t>
        </is>
      </c>
      <c r="E10" s="4" t="inlineStr">
        <is>
          <t>Verificar polaridad en módulo BCM; multímetro + diagrama ford.eTIS.com</t>
        </is>
      </c>
      <c r="F10" s="4" t="inlineStr">
        <is>
          <t>F-150, Ranger, Escape</t>
        </is>
      </c>
    </row>
    <row r="11" ht="40" customHeight="1">
      <c r="A11" s="16" t="inlineStr">
        <is>
          <t>Ford</t>
        </is>
      </c>
      <c r="B11" s="3" t="inlineStr">
        <is>
          <t>Tierra de Chasis</t>
        </is>
      </c>
      <c r="C11" s="14" t="inlineStr">
        <is>
          <t>Negro o Gris (BK/GY)</t>
        </is>
      </c>
      <c r="D11" s="3" t="inlineStr">
        <is>
          <t>Ford WSS-M99P32</t>
        </is>
      </c>
      <c r="E11" s="3" t="inlineStr">
        <is>
          <t>Gris en señales de retorno de sensor; negro en masa de potencia</t>
        </is>
      </c>
      <c r="F11" s="3" t="inlineStr">
        <is>
          <t>Todos los Ford modernos</t>
        </is>
      </c>
    </row>
    <row r="12" ht="40" customHeight="1">
      <c r="A12" s="17" t="inlineStr">
        <is>
          <t>Ford</t>
        </is>
      </c>
      <c r="B12" s="4" t="inlineStr">
        <is>
          <t>Ignición (KL15 equiv.)</t>
        </is>
      </c>
      <c r="C12" s="15" t="inlineStr">
        <is>
          <t>Rosa (PK)</t>
        </is>
      </c>
      <c r="D12" s="4" t="inlineStr">
        <is>
          <t>Ford WSS-M99P32</t>
        </is>
      </c>
      <c r="E12" s="4" t="inlineStr">
        <is>
          <t>Activo solo en RUN; también controla sistema PATS antirrobo</t>
        </is>
      </c>
      <c r="F12" s="4" t="inlineStr">
        <is>
          <t>Módulo PCM/TCM Ford</t>
        </is>
      </c>
    </row>
    <row r="13" ht="40" customHeight="1">
      <c r="A13" s="16" t="inlineStr">
        <is>
          <t>General Motors</t>
        </is>
      </c>
      <c r="B13" s="3" t="inlineStr">
        <is>
          <t>Alimentación Accesorios ACC</t>
        </is>
      </c>
      <c r="C13" s="14" t="inlineStr">
        <is>
          <t>Rosa o Azul Claro (PK/LT BL)</t>
        </is>
      </c>
      <c r="D13" s="3" t="inlineStr">
        <is>
          <t>GM TSB</t>
        </is>
      </c>
      <c r="E13" s="3" t="inlineStr">
        <is>
          <t>Rosa en módulos de confort; azul claro en radio y accesorios eléctricos</t>
        </is>
      </c>
      <c r="F13" s="3" t="inlineStr">
        <is>
          <t>Silverado, Equinox, Malibu</t>
        </is>
      </c>
    </row>
    <row r="14" ht="40" customHeight="1">
      <c r="A14" s="17" t="inlineStr">
        <is>
          <t>General Motors</t>
        </is>
      </c>
      <c r="B14" s="4" t="inlineStr">
        <is>
          <t>Luces de Reversa</t>
        </is>
      </c>
      <c r="C14" s="15" t="inlineStr">
        <is>
          <t>Verde Claro (LT GN)</t>
        </is>
      </c>
      <c r="D14" s="4" t="inlineStr">
        <is>
          <t>GM TSB</t>
        </is>
      </c>
      <c r="E14" s="4" t="inlineStr">
        <is>
          <t>Activado por TCM en posición R; verificar con escáner PID antes de revisar cableado</t>
        </is>
      </c>
      <c r="F14" s="4" t="inlineStr">
        <is>
          <t>Silverado, Trax, Tahoe</t>
        </is>
      </c>
    </row>
    <row r="15" ht="40" customHeight="1">
      <c r="A15" s="16" t="inlineStr">
        <is>
          <t>General Motors</t>
        </is>
      </c>
      <c r="B15" s="3" t="inlineStr">
        <is>
          <t>Tierra de Chasis</t>
        </is>
      </c>
      <c r="C15" s="14" t="inlineStr">
        <is>
          <t>Negro (BK)</t>
        </is>
      </c>
      <c r="D15" s="3" t="inlineStr">
        <is>
          <t>GM TSB</t>
        </is>
      </c>
      <c r="E15" s="3" t="inlineStr">
        <is>
          <t>Mismo que SAE; verificar punto G202 o equivalente específico del modelo</t>
        </is>
      </c>
      <c r="F15" s="3" t="inlineStr">
        <is>
          <t>Todos los GM</t>
        </is>
      </c>
    </row>
    <row r="16" ht="40" customHeight="1">
      <c r="A16" s="17" t="inlineStr">
        <is>
          <t>Toyota</t>
        </is>
      </c>
      <c r="B16" s="4" t="inlineStr">
        <is>
          <t>Luz de Freno</t>
        </is>
      </c>
      <c r="C16" s="15" t="inlineStr">
        <is>
          <t>Verde con franja Roja o Blanca (GN/RD o GN/WT)</t>
        </is>
      </c>
      <c r="D16" s="4" t="inlineStr">
        <is>
          <t>Toyota EWD</t>
        </is>
      </c>
      <c r="E16" s="4" t="inlineStr">
        <is>
          <t>Verde=freno en Toyota; franja roja=derecha, blanca=izquierda en algunos modelos</t>
        </is>
      </c>
      <c r="F16" s="4" t="inlineStr">
        <is>
          <t>Hilux, Corolla, RAV4</t>
        </is>
      </c>
    </row>
    <row r="17" ht="40" customHeight="1">
      <c r="A17" s="16" t="inlineStr">
        <is>
          <t>Toyota</t>
        </is>
      </c>
      <c r="B17" s="3" t="inlineStr">
        <is>
          <t>Alimentación Constante</t>
        </is>
      </c>
      <c r="C17" s="14" t="inlineStr">
        <is>
          <t>Amarillo (YL)</t>
        </is>
      </c>
      <c r="D17" s="3" t="inlineStr">
        <is>
          <t>Toyota EWD / JASO</t>
        </is>
      </c>
      <c r="E17" s="3" t="inlineStr">
        <is>
          <t>Positivo B+ constante; precaución: amarillo europeo = SRS/airbag — ¡no confundir!</t>
        </is>
      </c>
      <c r="F17" s="3" t="inlineStr">
        <is>
          <t>4Runner, Tundra, bZ4X</t>
        </is>
      </c>
    </row>
    <row r="18" ht="40" customHeight="1">
      <c r="A18" s="17" t="inlineStr">
        <is>
          <t>Toyota</t>
        </is>
      </c>
      <c r="B18" s="4" t="inlineStr">
        <is>
          <t>Tierra de Chasis</t>
        </is>
      </c>
      <c r="C18" s="15" t="inlineStr">
        <is>
          <t>Negro (BK) o Blanco (WT)</t>
        </is>
      </c>
      <c r="D18" s="4" t="inlineStr">
        <is>
          <t>Toyota EWD</t>
        </is>
      </c>
      <c r="E18" s="4" t="inlineStr">
        <is>
          <t>Negro en modelos recientes globales; blanco en JDM antiguos — verificar año/mercado</t>
        </is>
      </c>
      <c r="F18" s="4" t="inlineStr">
        <is>
          <t>Previa, Land Cruiser 80 (WT)</t>
        </is>
      </c>
    </row>
    <row r="19" ht="40" customHeight="1">
      <c r="A19" s="16" t="inlineStr">
        <is>
          <t>Honda</t>
        </is>
      </c>
      <c r="B19" s="3" t="inlineStr">
        <is>
          <t>Luces de Cola (Tail)</t>
        </is>
      </c>
      <c r="C19" s="14" t="inlineStr">
        <is>
          <t>Rojo con franja Negra (RD/BK)</t>
        </is>
      </c>
      <c r="D19" s="3" t="inlineStr">
        <is>
          <t>Honda EWD</t>
        </is>
      </c>
      <c r="E19" s="3" t="inlineStr">
        <is>
          <t>Positivo de cola; diferente de rojo puro (alimentación constante)</t>
        </is>
      </c>
      <c r="F19" s="3" t="inlineStr">
        <is>
          <t>Civic, CR-V, Accord</t>
        </is>
      </c>
    </row>
    <row r="20" ht="40" customHeight="1">
      <c r="A20" s="17" t="inlineStr">
        <is>
          <t>Honda</t>
        </is>
      </c>
      <c r="B20" s="4" t="inlineStr">
        <is>
          <t>Luz de Freno</t>
        </is>
      </c>
      <c r="C20" s="15" t="inlineStr">
        <is>
          <t>Verde con franja Blanca (GN/WT)</t>
        </is>
      </c>
      <c r="D20" s="4" t="inlineStr">
        <is>
          <t>Honda EWD</t>
        </is>
      </c>
      <c r="E20" s="4" t="inlineStr">
        <is>
          <t>Señal de freno desde switch en pedal al BCM; verificar 12V en GN/WT al pisar</t>
        </is>
      </c>
      <c r="F20" s="4" t="inlineStr">
        <is>
          <t>HR-V, Fit, Pilot</t>
        </is>
      </c>
    </row>
    <row r="21" ht="40" customHeight="1">
      <c r="A21" s="16" t="inlineStr">
        <is>
          <t>Honda</t>
        </is>
      </c>
      <c r="B21" s="3" t="inlineStr">
        <is>
          <t>Tierra de Chasis</t>
        </is>
      </c>
      <c r="C21" s="14" t="inlineStr">
        <is>
          <t>Negro (BK)</t>
        </is>
      </c>
      <c r="D21" s="3" t="inlineStr">
        <is>
          <t>Honda EWD</t>
        </is>
      </c>
      <c r="E21" s="3" t="inlineStr">
        <is>
          <t>Estándar igual que SAE; puntos de masa numerados en EWD (G101, G201)</t>
        </is>
      </c>
      <c r="F21" s="3" t="inlineStr">
        <is>
          <t>Todos Honda globales</t>
        </is>
      </c>
    </row>
  </sheetData>
  <mergeCells count="1">
    <mergeCell ref="A1:F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22" customWidth="1" min="1" max="1"/>
    <col width="10" customWidth="1" min="2" max="2"/>
    <col width="14" customWidth="1" min="3" max="3"/>
    <col width="28" customWidth="1" min="4" max="4"/>
    <col width="18" customWidth="1" min="5" max="5"/>
    <col width="46" customWidth="1" min="6" max="6"/>
  </cols>
  <sheetData>
    <row r="1" ht="22" customHeight="1">
      <c r="A1" s="1" t="inlineStr">
        <is>
          <t>PINOUTS DE SENSORES — Voltajes de Referencia por Tipo</t>
        </is>
      </c>
    </row>
    <row r="2" ht="30" customHeight="1">
      <c r="A2" s="2" t="inlineStr">
        <is>
          <t>Tipo de Sensor</t>
        </is>
      </c>
      <c r="B2" s="2" t="inlineStr">
        <is>
          <t>Pin 1</t>
        </is>
      </c>
      <c r="C2" s="2" t="inlineStr">
        <is>
          <t>Pin 2</t>
        </is>
      </c>
      <c r="D2" s="2" t="inlineStr">
        <is>
          <t>Pin 3</t>
        </is>
      </c>
      <c r="E2" s="2" t="inlineStr">
        <is>
          <t>Pin 4 (si aplica)</t>
        </is>
      </c>
      <c r="F2" s="2" t="inlineStr">
        <is>
          <t>Señal / Voltaje de Operación</t>
        </is>
      </c>
    </row>
    <row r="3" ht="42" customHeight="1">
      <c r="A3" s="16" t="inlineStr">
        <is>
          <t>CKP Hall (Posición Cigüeñal)</t>
        </is>
      </c>
      <c r="B3" s="3" t="inlineStr">
        <is>
          <t>Alimentación 5V o 12V (ECU)</t>
        </is>
      </c>
      <c r="C3" s="3" t="inlineStr">
        <is>
          <t>Señal — Onda Cuadrada</t>
        </is>
      </c>
      <c r="D3" s="3" t="inlineStr">
        <is>
          <t>Tierra (GND)</t>
        </is>
      </c>
      <c r="E3" s="3" t="inlineStr">
        <is>
          <t>—</t>
        </is>
      </c>
      <c r="F3" s="3" t="inlineStr">
        <is>
          <t>PWM 0–5V; frecuencia proporcional a RPM; 0 RPM → 0V constante (parado)</t>
        </is>
      </c>
    </row>
    <row r="4" ht="42" customHeight="1">
      <c r="A4" s="17" t="inlineStr">
        <is>
          <t>CMP Hall (Posición Árbol de Levas)</t>
        </is>
      </c>
      <c r="B4" s="4" t="inlineStr">
        <is>
          <t>Alimentación 5V</t>
        </is>
      </c>
      <c r="C4" s="4" t="inlineStr">
        <is>
          <t>Señal — Onda Cuadrada</t>
        </is>
      </c>
      <c r="D4" s="4" t="inlineStr">
        <is>
          <t>Tierra (GND)</t>
        </is>
      </c>
      <c r="E4" s="4" t="inlineStr">
        <is>
          <t>—</t>
        </is>
      </c>
      <c r="F4" s="4" t="inlineStr">
        <is>
          <t>Detecta posición a 0 RPM; 1 pulso por revolución de árbol; señal de referencia para sincronía</t>
        </is>
      </c>
    </row>
    <row r="5" ht="42" customHeight="1">
      <c r="A5" s="16" t="inlineStr">
        <is>
          <t>MAP (Presión Múltiple de Admisión)</t>
        </is>
      </c>
      <c r="B5" s="3" t="inlineStr">
        <is>
          <t>Referencia 5V (ECU)</t>
        </is>
      </c>
      <c r="C5" s="3" t="inlineStr">
        <is>
          <t>Señal analógica de voltaje</t>
        </is>
      </c>
      <c r="D5" s="3" t="inlineStr">
        <is>
          <t>Tierra (GND)</t>
        </is>
      </c>
      <c r="E5" s="3" t="inlineStr">
        <is>
          <t>—</t>
        </is>
      </c>
      <c r="F5" s="3" t="inlineStr">
        <is>
          <t>0.5V en vacío absoluto → 4.5V a presión atmosférica (1 bar); motores sobrealimentados hasta 2.5 bar</t>
        </is>
      </c>
    </row>
    <row r="6" ht="42" customHeight="1">
      <c r="A6" s="17" t="inlineStr">
        <is>
          <t>TPS (Posición Mariposa / APP)</t>
        </is>
      </c>
      <c r="B6" s="4" t="inlineStr">
        <is>
          <t>Referencia 5V (ECU)</t>
        </is>
      </c>
      <c r="C6" s="4" t="inlineStr">
        <is>
          <t>Señal analógica</t>
        </is>
      </c>
      <c r="D6" s="4" t="inlineStr">
        <is>
          <t>Tierra (GND)</t>
        </is>
      </c>
      <c r="E6" s="4" t="inlineStr">
        <is>
          <t>2ª señal APP (si dual)</t>
        </is>
      </c>
      <c r="F6" s="4" t="inlineStr">
        <is>
          <t>0.5V cerrada → 4.5V WOT; dual para tolerancia falla; la 2ª señal es inversa a la 1ª (suma=5V siempre)</t>
        </is>
      </c>
    </row>
    <row r="7" ht="42" customHeight="1">
      <c r="A7" s="16" t="inlineStr">
        <is>
          <t>ECT / IAT (Temperatura NTC)</t>
        </is>
      </c>
      <c r="B7" s="3" t="inlineStr">
        <is>
          <t>Referencia 5V (divisor)</t>
        </is>
      </c>
      <c r="C7" s="3" t="inlineStr">
        <is>
          <t>Señal voltaje variable</t>
        </is>
      </c>
      <c r="D7" s="3" t="inlineStr">
        <is>
          <t>—</t>
        </is>
      </c>
      <c r="E7" s="3" t="inlineStr">
        <is>
          <t>—</t>
        </is>
      </c>
      <c r="F7" s="3" t="inlineStr">
        <is>
          <t>Alta resistencia = frío = voltaje alto (~4.5V a -20°C); baja R = calor = bajo (~0.3V a 100°C)</t>
        </is>
      </c>
    </row>
    <row r="8" ht="42" customHeight="1">
      <c r="A8" s="17" t="inlineStr">
        <is>
          <t>O2 Narrowband (Lambda)</t>
        </is>
      </c>
      <c r="B8" s="4" t="inlineStr">
        <is>
          <t>Calentador positivo (+12V IGN)</t>
        </is>
      </c>
      <c r="C8" s="4" t="inlineStr">
        <is>
          <t>Calentador negativo (masa)</t>
        </is>
      </c>
      <c r="D8" s="4" t="inlineStr">
        <is>
          <t>Señal Lambda (+)</t>
        </is>
      </c>
      <c r="E8" s="4" t="inlineStr">
        <is>
          <t>Tierra señal (blindaje)</t>
        </is>
      </c>
      <c r="F8" s="4" t="inlineStr">
        <is>
          <t>0.1V mezcla pobre; 0.45V estequiométrico; 0.9V rica; cicla 0.5–2 Hz en lazo cerrado</t>
        </is>
      </c>
    </row>
    <row r="9" ht="42" customHeight="1">
      <c r="A9" s="16" t="inlineStr">
        <is>
          <t>MAF (Flujo Masa de Aire)</t>
        </is>
      </c>
      <c r="B9" s="3" t="inlineStr">
        <is>
          <t>Alimentación +12V</t>
        </is>
      </c>
      <c r="C9" s="3" t="inlineStr">
        <is>
          <t>Tierra (GND)</t>
        </is>
      </c>
      <c r="D9" s="3" t="inlineStr">
        <is>
          <t>Señal analógica o frecuencia</t>
        </is>
      </c>
      <c r="E9" s="3" t="inlineStr">
        <is>
          <t>—</t>
        </is>
      </c>
      <c r="F9" s="3" t="inlineStr">
        <is>
          <t>Analógico: 0.5–4.5V proporcional al flujo; Frecuencia: 15 Hz ralentí → 150 Hz plena carga</t>
        </is>
      </c>
    </row>
    <row r="10" ht="42" customHeight="1">
      <c r="A10" s="17" t="inlineStr">
        <is>
          <t>VSS (Velocidad Vehículo)</t>
        </is>
      </c>
      <c r="B10" s="4" t="inlineStr">
        <is>
          <t>Alimentación 12V (pull-up)</t>
        </is>
      </c>
      <c r="C10" s="4" t="inlineStr">
        <is>
          <t>Señal cuadrada</t>
        </is>
      </c>
      <c r="D10" s="4" t="inlineStr">
        <is>
          <t>Tierra</t>
        </is>
      </c>
      <c r="E10" s="4" t="inlineStr">
        <is>
          <t>—</t>
        </is>
      </c>
      <c r="F10" s="4" t="inlineStr">
        <is>
          <t>4 pulsos por revolución de eje (típico); ECU calcula velocidad por frecuencia; verificar con escáner PID VSS</t>
        </is>
      </c>
    </row>
    <row r="11" ht="42" customHeight="1">
      <c r="A11" s="16" t="inlineStr">
        <is>
          <t>Knock / Detonación (Piezo)</t>
        </is>
      </c>
      <c r="B11" s="3" t="inlineStr">
        <is>
          <t>Señal sinusoidal (+)</t>
        </is>
      </c>
      <c r="C11" s="3" t="inlineStr">
        <is>
          <t>Tierra blindaje</t>
        </is>
      </c>
      <c r="D11" s="3" t="inlineStr">
        <is>
          <t>—</t>
        </is>
      </c>
      <c r="E11" s="3" t="inlineStr">
        <is>
          <t>—</t>
        </is>
      </c>
      <c r="F11" s="3" t="inlineStr">
        <is>
          <t>Señal AC sinusoidal ±0.5–2V en detonación; frecuencia 6–8 kHz (4cil) / 4–6 kHz (V8); blindaje a masa en un extremo</t>
        </is>
      </c>
    </row>
    <row r="14" ht="20" customHeight="1">
      <c r="A14" s="1" t="inlineStr">
        <is>
          <t>FUSIBLES DE CUCHILLA (Blade Fuse) — Código de Color e Identificación</t>
        </is>
      </c>
    </row>
    <row r="15">
      <c r="A15" s="2" t="inlineStr">
        <is>
          <t>Color Fusible</t>
        </is>
      </c>
      <c r="B15" s="2" t="inlineStr">
        <is>
          <t>Amperaje</t>
        </is>
      </c>
      <c r="C15" s="2" t="inlineStr">
        <is>
          <t>Tamaño Físico</t>
        </is>
      </c>
      <c r="D15" s="2" t="inlineStr">
        <is>
          <t>Aplicaciones Típicas</t>
        </is>
      </c>
      <c r="E15" s="2" t="inlineStr">
        <is>
          <t>Consecuencia de Sobredimensionar</t>
        </is>
      </c>
      <c r="F15" s="2" t="inlineStr">
        <is>
          <t>Nota de Reemplazo</t>
        </is>
      </c>
    </row>
    <row r="16">
      <c r="A16" s="16" t="inlineStr">
        <is>
          <t>Gris</t>
        </is>
      </c>
      <c r="B16" s="14" t="inlineStr">
        <is>
          <t>2 A</t>
        </is>
      </c>
      <c r="C16" s="3" t="inlineStr">
        <is>
          <t>Micro2 / Mini</t>
        </is>
      </c>
      <c r="D16" s="3" t="inlineStr">
        <is>
          <t>Sensores delicados, circuitos de memoria ECU, RKE</t>
        </is>
      </c>
      <c r="E16" s="3" t="inlineStr">
        <is>
          <t>Cableado de sensores puede sobrecalentarse; daño irreversible en PCB de ECU</t>
        </is>
      </c>
      <c r="F16" s="3" t="inlineStr">
        <is>
          <t>Usar SOLO el amperaje OEM; nunca sustituir con alambre ni clip metálico</t>
        </is>
      </c>
    </row>
    <row r="17">
      <c r="A17" s="17" t="inlineStr">
        <is>
          <t>Violeta</t>
        </is>
      </c>
      <c r="B17" s="15" t="inlineStr">
        <is>
          <t>3 A</t>
        </is>
      </c>
      <c r="C17" s="4" t="inlineStr">
        <is>
          <t>Micro2 / Mini</t>
        </is>
      </c>
      <c r="D17" s="4" t="inlineStr">
        <is>
          <t>Módulos de control baja potencia, circuitos LIN</t>
        </is>
      </c>
      <c r="E17" s="4" t="inlineStr">
        <is>
          <t>Falla de módulo completo si entra sobrecorriente sin fusible correcto</t>
        </is>
      </c>
      <c r="F17" s="4" t="inlineStr">
        <is>
          <t>Verificar en diagrama si es Micro2 o Mini — mismo color, diferente tamaño físico</t>
        </is>
      </c>
    </row>
    <row r="18">
      <c r="A18" s="16" t="inlineStr">
        <is>
          <t>Tan / Beige</t>
        </is>
      </c>
      <c r="B18" s="14" t="inlineStr">
        <is>
          <t>5 A</t>
        </is>
      </c>
      <c r="C18" s="3" t="inlineStr">
        <is>
          <t>Mini / Regular ATO</t>
        </is>
      </c>
      <c r="D18" s="3" t="inlineStr">
        <is>
          <t>Tablero de instrumentos, luces de cortesía, audio auxiliar</t>
        </is>
      </c>
      <c r="E18" s="3" t="inlineStr">
        <is>
          <t>Incendio de mazo de iluminación si cortocircuito no protegido</t>
        </is>
      </c>
      <c r="F18" s="3" t="inlineStr">
        <is>
          <t>Medir carga real del circuito antes de cambiar amperaje</t>
        </is>
      </c>
    </row>
    <row r="19">
      <c r="A19" s="17" t="inlineStr">
        <is>
          <t>Marrón</t>
        </is>
      </c>
      <c r="B19" s="15" t="inlineStr">
        <is>
          <t>7.5 A</t>
        </is>
      </c>
      <c r="C19" s="4" t="inlineStr">
        <is>
          <t>Mini / Regular ATO</t>
        </is>
      </c>
      <c r="D19" s="4" t="inlineStr">
        <is>
          <t>Sistemas gestión motor (bobinas de relevadores), señal de bocina</t>
        </is>
      </c>
      <c r="E19" s="4" t="inlineStr">
        <is>
          <t>Sobrecalentamiento del cableado de control ECU</t>
        </is>
      </c>
      <c r="F19" s="4" t="inlineStr">
        <is>
          <t>Paso intermedio entre 5A y 10A; específico para relés de baja potencia</t>
        </is>
      </c>
    </row>
    <row r="20">
      <c r="A20" s="16" t="inlineStr">
        <is>
          <t>Rojo</t>
        </is>
      </c>
      <c r="B20" s="14" t="inlineStr">
        <is>
          <t>10 A</t>
        </is>
      </c>
      <c r="C20" s="3" t="inlineStr">
        <is>
          <t>Mini / Regular ATO</t>
        </is>
      </c>
      <c r="D20" s="3" t="inlineStr">
        <is>
          <t>Inyectores combustible, luces de freno, módulo de ABS</t>
        </is>
      </c>
      <c r="E20" s="3" t="inlineStr">
        <is>
          <t>Daño en resistencias de inyectores por sobrecorriente</t>
        </is>
      </c>
      <c r="F20" s="3" t="inlineStr">
        <is>
          <t>Más común en cajas de fusibles de motor; resistencia inyector ~12-16Ω</t>
        </is>
      </c>
    </row>
    <row r="21">
      <c r="A21" s="17" t="inlineStr">
        <is>
          <t>Azul</t>
        </is>
      </c>
      <c r="B21" s="15" t="inlineStr">
        <is>
          <t>15 A</t>
        </is>
      </c>
      <c r="C21" s="4" t="inlineStr">
        <is>
          <t>Mini / Regular ATO</t>
        </is>
      </c>
      <c r="D21" s="4" t="inlineStr">
        <is>
          <t>Bomba de combustible, limpiaparabrisas, ventanas eléctricas</t>
        </is>
      </c>
      <c r="E21" s="4" t="inlineStr">
        <is>
          <t>Fusión del motor del elevador de ventana en cortocircuito</t>
        </is>
      </c>
      <c r="F21" s="4" t="inlineStr">
        <is>
          <t>Verificar amperaje de arranque del motor de bomba; pico hasta 25A momentáneo</t>
        </is>
      </c>
    </row>
    <row r="22">
      <c r="A22" s="16" t="inlineStr">
        <is>
          <t>Amarillo</t>
        </is>
      </c>
      <c r="B22" s="14" t="inlineStr">
        <is>
          <t>20 A</t>
        </is>
      </c>
      <c r="C22" s="3" t="inlineStr">
        <is>
          <t>Mini / Regular ATO</t>
        </is>
      </c>
      <c r="D22" s="3" t="inlineStr">
        <is>
          <t>Encendedor/USB, ventanas eléctricas, módulo ECU principal</t>
        </is>
      </c>
      <c r="E22" s="3" t="inlineStr">
        <is>
          <t>Incendio de mazo si cableado no es de suficiente sección</t>
        </is>
      </c>
      <c r="F22" s="3" t="inlineStr">
        <is>
          <t>Circuito de mayor demanda en caja interior; verificar sección mínima 2.5 mm²</t>
        </is>
      </c>
    </row>
    <row r="23">
      <c r="A23" s="17" t="inlineStr">
        <is>
          <t>Verde</t>
        </is>
      </c>
      <c r="B23" s="15" t="inlineStr">
        <is>
          <t>30 A</t>
        </is>
      </c>
      <c r="C23" s="4" t="inlineStr">
        <is>
          <t>Regular ATO / Maxi</t>
        </is>
      </c>
      <c r="D23" s="4" t="inlineStr">
        <is>
          <t>Ventiladores de radiador, sistemas de audio potentes</t>
        </is>
      </c>
      <c r="E23" s="4" t="inlineStr">
        <is>
          <t>Fusión del mazo de potencia si cortocircuito en ventilador</t>
        </is>
      </c>
      <c r="F23" s="4" t="inlineStr">
        <is>
          <t>Medir resistencia de motor ventilador antes: &lt;1Ω = cortocircuito → cambiar motor antes del fusible</t>
        </is>
      </c>
    </row>
    <row r="24">
      <c r="A24" s="16" t="inlineStr">
        <is>
          <t>Naranja</t>
        </is>
      </c>
      <c r="B24" s="14" t="inlineStr">
        <is>
          <t>40 A</t>
        </is>
      </c>
      <c r="C24" s="3" t="inlineStr">
        <is>
          <t>Maxi</t>
        </is>
      </c>
      <c r="D24" s="3" t="inlineStr">
        <is>
          <t>Alternadores (campo), ventiladores principales, bomba ADAS</t>
        </is>
      </c>
      <c r="E24" s="3" t="inlineStr">
        <is>
          <t>Daño al alternador o al regulador de voltaje del BCM</t>
        </is>
      </c>
      <c r="F24" s="3" t="inlineStr">
        <is>
          <t>Maxi fusible: extraer con alicate; nunca con manos — puede quemarse por calor residual</t>
        </is>
      </c>
    </row>
    <row r="25">
      <c r="A25" s="17" t="inlineStr">
        <is>
          <t>Verde (Maxi)</t>
        </is>
      </c>
      <c r="B25" s="15" t="inlineStr">
        <is>
          <t>60 A</t>
        </is>
      </c>
      <c r="C25" s="4" t="inlineStr">
        <is>
          <t>Maxi</t>
        </is>
      </c>
      <c r="D25" s="4" t="inlineStr">
        <is>
          <t>Circuito principal de batería, distribución central</t>
        </is>
      </c>
      <c r="E25" s="4" t="inlineStr">
        <is>
          <t>Falla catastrófica del sistema eléctrico completo</t>
        </is>
      </c>
      <c r="F25" s="4" t="inlineStr">
        <is>
          <t>Reemplazar solo con MISMO amperaje y tamaño físico; par de apriete 3-5 Nm</t>
        </is>
      </c>
    </row>
    <row r="26">
      <c r="A26" s="16" t="inlineStr">
        <is>
          <t>Rojo (Maxi)</t>
        </is>
      </c>
      <c r="B26" s="14" t="inlineStr">
        <is>
          <t>80 A</t>
        </is>
      </c>
      <c r="C26" s="3" t="inlineStr">
        <is>
          <t>Maxi</t>
        </is>
      </c>
      <c r="D26" s="3" t="inlineStr">
        <is>
          <t>Distribución de energía HV-DCDC converter en EV/HEV (12V side)</t>
        </is>
      </c>
      <c r="E26" s="3" t="inlineStr">
        <is>
          <t>Daño al convertidor DC/DC de alto voltaje</t>
        </is>
      </c>
      <c r="F26" s="3" t="inlineStr">
        <is>
          <t>Verificar con escáner nivel de tensión 12V antes de cambiar en EV</t>
        </is>
      </c>
    </row>
    <row r="27">
      <c r="A27" s="11" t="n"/>
      <c r="B27" s="11" t="n"/>
      <c r="C27" s="11" t="n"/>
      <c r="D27" s="11" t="n"/>
      <c r="E27" s="11" t="n"/>
      <c r="F27" s="11" t="n"/>
    </row>
    <row r="28" ht="20" customHeight="1">
      <c r="A28" s="1" t="inlineStr">
        <is>
          <t>RELÉS AUTOMOTRICES — Terminales DIN 72552 y Diagnóstico</t>
        </is>
      </c>
    </row>
    <row r="29">
      <c r="A29" s="2" t="inlineStr">
        <is>
          <t>Terminal DIN</t>
        </is>
      </c>
      <c r="B29" s="2" t="inlineStr">
        <is>
          <t>Nombre</t>
        </is>
      </c>
      <c r="C29" s="2" t="inlineStr">
        <is>
          <t>Función Técnica</t>
        </is>
      </c>
      <c r="D29" s="2" t="inlineStr">
        <is>
          <t>Voltaje Referencia</t>
        </is>
      </c>
      <c r="E29" s="2" t="inlineStr">
        <is>
          <t>Resistencia Bobina</t>
        </is>
      </c>
      <c r="F29" s="2" t="inlineStr">
        <is>
          <t>Diagnóstico</t>
        </is>
      </c>
    </row>
    <row r="30">
      <c r="A30" s="16" t="inlineStr">
        <is>
          <t>30</t>
        </is>
      </c>
      <c r="B30" s="3" t="inlineStr">
        <is>
          <t>Entrada de Potencia</t>
        </is>
      </c>
      <c r="C30" s="3" t="inlineStr">
        <is>
          <t>Conexión directa al (+) de batería — siempre vivo (KL30)</t>
        </is>
      </c>
      <c r="D30" s="3" t="inlineStr">
        <is>
          <t>12V–14.5V DC</t>
        </is>
      </c>
      <c r="E30" s="3" t="inlineStr">
        <is>
          <t>—</t>
        </is>
      </c>
      <c r="F30" s="3" t="inlineStr">
        <is>
          <t>Medir voltaje; si 0V = fusible quemado upstream o cable cortado</t>
        </is>
      </c>
    </row>
    <row r="31">
      <c r="A31" s="17" t="inlineStr">
        <is>
          <t>85</t>
        </is>
      </c>
      <c r="B31" s="4" t="inlineStr">
        <is>
          <t>Tierra de Bobina</t>
        </is>
      </c>
      <c r="C31" s="4" t="inlineStr">
        <is>
          <t>Cierra el circuito de control hacia el chasis (masa lado bobina)</t>
        </is>
      </c>
      <c r="D31" s="4" t="inlineStr">
        <is>
          <t>0V cuando activo</t>
        </is>
      </c>
      <c r="E31" s="4" t="inlineStr">
        <is>
          <t>—</t>
        </is>
      </c>
      <c r="F31" s="4" t="inlineStr">
        <is>
          <t>Medir resistencia 85-86: 50–200Ω típico; ∞ = bobina abierta/quemada</t>
        </is>
      </c>
    </row>
    <row r="32">
      <c r="A32" s="16" t="inlineStr">
        <is>
          <t>86</t>
        </is>
      </c>
      <c r="B32" s="3" t="inlineStr">
        <is>
          <t>Gatillo / Trigger</t>
        </is>
      </c>
      <c r="C32" s="3" t="inlineStr">
        <is>
          <t>Recibe señal de activación +12V desde ECU o interruptor</t>
        </is>
      </c>
      <c r="D32" s="3" t="inlineStr">
        <is>
          <t>12V cuando activado</t>
        </is>
      </c>
      <c r="E32" s="3" t="inlineStr">
        <is>
          <t>—</t>
        </is>
      </c>
      <c r="F32" s="3" t="inlineStr">
        <is>
          <t>Si ECU manda tierra (lado bajo): medir en 86; si no hay 12V = falla upstream del control</t>
        </is>
      </c>
    </row>
    <row r="33">
      <c r="A33" s="17" t="inlineStr">
        <is>
          <t>87</t>
        </is>
      </c>
      <c r="B33" s="4" t="inlineStr">
        <is>
          <t>Salida Normal Abierta (NO)</t>
        </is>
      </c>
      <c r="C33" s="4" t="inlineStr">
        <is>
          <t>Envía potencia al componente CUANDO el relé está ACTIVADO</t>
        </is>
      </c>
      <c r="D33" s="4" t="inlineStr">
        <is>
          <t>12V cuando relé cerrado</t>
        </is>
      </c>
      <c r="E33" s="4" t="inlineStr">
        <is>
          <t>—</t>
        </is>
      </c>
      <c r="F33" s="4" t="inlineStr">
        <is>
          <t>Medir continuidad 30-87 con bobina activada; si &lt;12V = contactos oxidados → lija y limpieza</t>
        </is>
      </c>
    </row>
    <row r="34">
      <c r="A34" s="16" t="inlineStr">
        <is>
          <t>87a</t>
        </is>
      </c>
      <c r="B34" s="3" t="inlineStr">
        <is>
          <t>Salida Normal Cerrada (NC)</t>
        </is>
      </c>
      <c r="C34" s="3" t="inlineStr">
        <is>
          <t>Envía potencia SOLO cuando el relé está EN REPOSO</t>
        </is>
      </c>
      <c r="D34" s="3" t="inlineStr">
        <is>
          <t>12V cuando relé abierto</t>
        </is>
      </c>
      <c r="E34" s="3" t="inlineStr">
        <is>
          <t>—</t>
        </is>
      </c>
      <c r="F34" s="3" t="inlineStr">
        <is>
          <t>Usado en circuitos de seguridad; fallo en 87a = circuito activo permanente aunque se apague el relé</t>
        </is>
      </c>
    </row>
    <row r="35">
      <c r="A35" s="11" t="n"/>
      <c r="B35" s="11" t="n"/>
      <c r="C35" s="11" t="n"/>
      <c r="D35" s="11" t="n"/>
      <c r="E35" s="11" t="n"/>
      <c r="F35" s="11" t="n"/>
    </row>
  </sheetData>
  <mergeCells count="3">
    <mergeCell ref="A14:F14"/>
    <mergeCell ref="A1:F1"/>
    <mergeCell ref="A28:F28"/>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20" customWidth="1" min="1" max="1"/>
    <col width="18" customWidth="1" min="2" max="2"/>
    <col width="22" customWidth="1" min="3" max="3"/>
    <col width="44" customWidth="1" min="4" max="4"/>
    <col width="22" customWidth="1" min="5" max="5"/>
    <col width="42" customWidth="1" min="6" max="6"/>
    <col width="44" customWidth="1" min="7" max="7"/>
  </cols>
  <sheetData>
    <row r="1" ht="24" customHeight="1">
      <c r="A1" s="1" t="inlineStr">
        <is>
          <t>CÓDIGOS DTC — Análisis, Procedimiento y Herramientas de Diagnóstico Avanzado</t>
        </is>
      </c>
    </row>
    <row r="2" ht="30" customHeight="1">
      <c r="A2" s="2" t="inlineStr">
        <is>
          <t>Código DTC</t>
        </is>
      </c>
      <c r="B2" s="2" t="inlineStr">
        <is>
          <t>Descripción</t>
        </is>
      </c>
      <c r="C2" s="2" t="inlineStr">
        <is>
          <t>Sistema Afectado</t>
        </is>
      </c>
      <c r="D2" s="2" t="inlineStr">
        <is>
          <t>Procedimiento Paso a Paso</t>
        </is>
      </c>
      <c r="E2" s="2" t="inlineStr">
        <is>
          <t>Herramienta</t>
        </is>
      </c>
      <c r="F2" s="2" t="inlineStr">
        <is>
          <t>Live Data Clave</t>
        </is>
      </c>
      <c r="G2" s="2" t="inlineStr">
        <is>
          <t>Causa Raíz Frecuente</t>
        </is>
      </c>
    </row>
    <row r="3" ht="52" customHeight="1">
      <c r="A3" s="26" t="inlineStr">
        <is>
          <t>P0300</t>
        </is>
      </c>
      <c r="B3" s="3" t="inlineStr">
        <is>
          <t>Misfire aleatorio múltiple cilindros</t>
        </is>
      </c>
      <c r="C3" s="3" t="inlineStr">
        <is>
          <t>Encendido / inyección</t>
        </is>
      </c>
      <c r="D3" s="3" t="inlineStr">
        <is>
          <t>1. Verificar voltaje batería (&gt;12.4V). 2. Inspeccionar bujías y cables. 3. Prueba de humo para fugas de vacío. 4. Medir presión de combustible. 5. Probar bobinas COP con escáner balance de cilindros</t>
        </is>
      </c>
      <c r="E3" s="3" t="inlineStr">
        <is>
          <t>Osciloscopio (señal inyector) + escáner misfire counter</t>
        </is>
      </c>
      <c r="F3" s="3" t="inlineStr">
        <is>
          <t>RPM, Misfire Counter por cilindro, LTFT STFT</t>
        </is>
      </c>
      <c r="G3" s="3" t="inlineStr">
        <is>
          <t>Bobina COP abierta, bujía fouled, inyector tapado, fuga en junta de tapa de válvulas</t>
        </is>
      </c>
    </row>
    <row r="4" ht="52" customHeight="1">
      <c r="A4" s="27" t="inlineStr">
        <is>
          <t>P0420</t>
        </is>
      </c>
      <c r="B4" s="4" t="inlineStr">
        <is>
          <t>Eficiencia catalizador baja (Bank 1)</t>
        </is>
      </c>
      <c r="C4" s="4" t="inlineStr">
        <is>
          <t>Sistema de escape/emisiones</t>
        </is>
      </c>
      <c r="D4" s="4" t="inlineStr">
        <is>
          <t>1. Verificar fugas antes del CAT. 2. Monitorear O2 pre y post con osciloscopio. 3. Prueba de almacenamiento de oxígeno. 4. Revisar consumo de aceite. 5. Limpiar o reemplazar CAT</t>
        </is>
      </c>
      <c r="E4" s="4" t="inlineStr">
        <is>
          <t>Osciloscopio 2 canales (O2 upstream vs downstream)</t>
        </is>
      </c>
      <c r="F4" s="4" t="inlineStr">
        <is>
          <t>Voltaje O2 post-cat; si oscila igual que pre-cat = CAT muerto</t>
        </is>
      </c>
      <c r="G4" s="4" t="inlineStr">
        <is>
          <t>Catalizador contaminado por aceite, sensor O2 trasero perezoso, mezcla rica crónica</t>
        </is>
      </c>
    </row>
    <row r="5" ht="52" customHeight="1">
      <c r="A5" s="26" t="inlineStr">
        <is>
          <t>P0171</t>
        </is>
      </c>
      <c r="B5" s="3" t="inlineStr">
        <is>
          <t>Mezcla demasiado pobre — Bank 1</t>
        </is>
      </c>
      <c r="C5" s="3" t="inlineStr">
        <is>
          <t>Gestión de combustible</t>
        </is>
      </c>
      <c r="D5" s="3" t="inlineStr">
        <is>
          <t>1. Limpiar MAF con spray específico. 2. Buscar mangueras admisión rotas (prueba de humo). 3. Verificar válvula PCV no obstruida. 4. Revisar presión de rail combustible. 5. Probar inyectores</t>
        </is>
      </c>
      <c r="E5" s="3" t="inlineStr">
        <is>
          <t>Escáner PID + manómetro combustible + humo</t>
        </is>
      </c>
      <c r="F5" s="3" t="inlineStr">
        <is>
          <t>STFT +25% o más en ralentí, LTFT positivo, O2 debajo de 0.45V crónico</t>
        </is>
      </c>
      <c r="G5" s="3" t="inlineStr">
        <is>
          <t>MAF sucio, fuga de vacío post-MAF, inyector tapado, bomba débil</t>
        </is>
      </c>
    </row>
    <row r="6" ht="52" customHeight="1">
      <c r="A6" s="27" t="inlineStr">
        <is>
          <t>P0442</t>
        </is>
      </c>
      <c r="B6" s="4" t="inlineStr">
        <is>
          <t>Fuga pequeña sistema EVAP</t>
        </is>
      </c>
      <c r="C6" s="4" t="inlineStr">
        <is>
          <t>Emisiones evaporativas</t>
        </is>
      </c>
      <c r="D6" s="4" t="inlineStr">
        <is>
          <t>1. Apretar tapón gasolina firmemente. 2. Inspeccionar líneas de vacío del cánister. 3. Probar válvula de purga (activar con escáner). 4. Prueba de humo en sistema EVAP. 5. Verificar válvula de ventilación</t>
        </is>
      </c>
      <c r="E6" s="4" t="inlineStr">
        <is>
          <t>Generador de humo EVAP + escáner funciones especiales</t>
        </is>
      </c>
      <c r="F6" s="4" t="inlineStr">
        <is>
          <t>Presión sistema EVAP con motor apagado; si cae rápido = fuga</t>
        </is>
      </c>
      <c r="G6" s="4" t="inlineStr">
        <is>
          <t>Tapón suelto o O-ring deteriorado, línea EVAP agrietada, válvula canister pegada</t>
        </is>
      </c>
    </row>
    <row r="7" ht="52" customHeight="1">
      <c r="A7" s="26" t="inlineStr">
        <is>
          <t>P0101</t>
        </is>
      </c>
      <c r="B7" s="3" t="inlineStr">
        <is>
          <t>Señal MAF fuera de rango</t>
        </is>
      </c>
      <c r="C7" s="3" t="inlineStr">
        <is>
          <t>Gestión de aire</t>
        </is>
      </c>
      <c r="D7" s="3" t="inlineStr">
        <is>
          <t>1. Verificar alimentación 12V y tierra MAF. 2. Inspeccionar filtro de aire. 3. Medir señal MAF vs PID de carga calculada. 4. Comparar con MAF conocido bueno. 5. Limpiar con spray</t>
        </is>
      </c>
      <c r="E7" s="3" t="inlineStr">
        <is>
          <t>Osciloscopio señal MAF + escáner PID</t>
        </is>
      </c>
      <c r="F7" s="3" t="inlineStr">
        <is>
          <t>g/s de MAF en ralentí (2–4 g/s típico 2.0L); comparar vs mapa de referencia OEM</t>
        </is>
      </c>
      <c r="G7" s="3" t="inlineStr">
        <is>
          <t>MAF contaminado, filtro obstruido, fuga de aire post-MAF</t>
        </is>
      </c>
    </row>
    <row r="8" ht="52" customHeight="1">
      <c r="A8" s="27" t="inlineStr">
        <is>
          <t>P0335</t>
        </is>
      </c>
      <c r="B8" s="4" t="inlineStr">
        <is>
          <t>Sin señal CKP</t>
        </is>
      </c>
      <c r="C8" s="4" t="inlineStr">
        <is>
          <t>Sistema encendido/sincronía</t>
        </is>
      </c>
      <c r="D8" s="4" t="inlineStr">
        <is>
          <t>1. Medir resistencia sensor inductivo (250–1000 Ω). 2. Verificar espacio entre sensor y rueda fónica (0.5–1.5 mm). 3. Medir señal AC con osciloscopio al crankear. 4. Revisar tono rueda fónica (diente ausente o doblado)</t>
        </is>
      </c>
      <c r="E8" s="4" t="inlineStr">
        <is>
          <t>Osciloscopio (señal inductiva AC)</t>
        </is>
      </c>
      <c r="F8" s="4" t="inlineStr">
        <is>
          <t>Señal AC del CKP al crankear; amplitud debe aumentar con RPM</t>
        </is>
      </c>
      <c r="G8" s="4" t="inlineStr">
        <is>
          <t>Sensor dañado, rueda fónica golpeada, cable cortado, conector oxidado</t>
        </is>
      </c>
    </row>
    <row r="9" ht="52" customHeight="1">
      <c r="A9" s="26" t="inlineStr">
        <is>
          <t>P0605</t>
        </is>
      </c>
      <c r="B9" s="3" t="inlineStr">
        <is>
          <t>Error de ROM interna de ECU</t>
        </is>
      </c>
      <c r="C9" s="3" t="inlineStr">
        <is>
          <t>ECU / PCM</t>
        </is>
      </c>
      <c r="D9" s="3" t="inlineStr">
        <is>
          <t>1. Verificar alimentación KL30 y KL15 a ECU. 2. Verificar masas de ECU (&lt;0.1V caída). 3. Intentar borrar con escáner profesional. 4. Si persiste: reflash con J2534 o reemplazar ECU</t>
        </is>
      </c>
      <c r="E9" s="3" t="inlineStr">
        <is>
          <t>J2534 + software OEM (ODIS/TIS/IDS)</t>
        </is>
      </c>
      <c r="F9" s="3" t="inlineStr">
        <is>
          <t>Verificar si ECU responde en bus CAN (pin 6-14 OBD2 con 60Ω)</t>
        </is>
      </c>
      <c r="G9" s="3" t="inlineStr">
        <is>
          <t>Cortocircuito en alimentación ECU, capacitor interno en cortocircuito, firmware corrupto</t>
        </is>
      </c>
    </row>
    <row r="10" ht="52" customHeight="1">
      <c r="A10" s="27" t="inlineStr">
        <is>
          <t>P0562</t>
        </is>
      </c>
      <c r="B10" s="4" t="inlineStr">
        <is>
          <t>Voltaje de sistema bajo</t>
        </is>
      </c>
      <c r="C10" s="4" t="inlineStr">
        <is>
          <t>Sistema de carga</t>
        </is>
      </c>
      <c r="D10" s="4" t="inlineStr">
        <is>
          <t>1. Medir voltaje en batería (&gt;12.6V cargada). 2. Medir voltaje en marcha (13.5–14.5V). 3. Prueba de carga de alternador. 4. Revisar terminales de batería (oxidación). 5. Verificar tensión de correa</t>
        </is>
      </c>
      <c r="E10" s="4" t="inlineStr">
        <is>
          <t>Multímetro DC + cargador de carga variable</t>
        </is>
      </c>
      <c r="F10" s="4" t="inlineStr">
        <is>
          <t>Voltaje de batería en live data; si &lt;12.0V en marcha = alternador falla</t>
        </is>
      </c>
      <c r="G10" s="4" t="inlineStr">
        <is>
          <t>Alternador débil, batería sulfatada, cable de masa principal con alta resistencia</t>
        </is>
      </c>
    </row>
    <row r="13" ht="20" customHeight="1">
      <c r="A13" s="1" t="inlineStr">
        <is>
          <t>TÉCNICAS DE DIAGNÓSTICO AVANZADO — Osciloscopio, Wiggle Test y Estrés Térmico</t>
        </is>
      </c>
    </row>
    <row r="14">
      <c r="A14" s="2" t="inlineStr">
        <is>
          <t>Técnica</t>
        </is>
      </c>
      <c r="B14" s="2" t="inlineStr">
        <is>
          <t>Herramienta</t>
        </is>
      </c>
      <c r="C14" s="2" t="inlineStr">
        <is>
          <t>Cuándo Aplicar</t>
        </is>
      </c>
      <c r="D14" s="2" t="inlineStr">
        <is>
          <t>Procedimiento</t>
        </is>
      </c>
      <c r="E14" s="2" t="inlineStr">
        <is>
          <t>Señal / Indicador</t>
        </is>
      </c>
      <c r="F14" s="2" t="inlineStr">
        <is>
          <t>Interpretación del Resultado</t>
        </is>
      </c>
      <c r="G14" s="2" t="inlineStr">
        <is>
          <t>Ejemplo de Uso</t>
        </is>
      </c>
    </row>
    <row r="15" ht="52" customHeight="1">
      <c r="A15" s="14" t="inlineStr">
        <is>
          <t>Wiggle Test (Prueba de Sacudida)</t>
        </is>
      </c>
      <c r="B15" s="3" t="inlineStr">
        <is>
          <t>Osciloscopio o escáner en live data</t>
        </is>
      </c>
      <c r="C15" s="3" t="inlineStr">
        <is>
          <t>Falla intermitente de sensor; código DTC que aparece y desaparece</t>
        </is>
      </c>
      <c r="D15" s="3" t="inlineStr">
        <is>
          <t>Monitor señal del sensor en tiempo real. Mover y sacudir tramos del mazo y conectores. Observar cambios abruptos en la gráfica</t>
        </is>
      </c>
      <c r="E15" s="3" t="inlineStr">
        <is>
          <t>Salto brusco de voltaje en gráfica de osciloscopio</t>
        </is>
      </c>
      <c r="F15" s="3" t="inlineStr">
        <is>
          <t>Salto = cable roto internamente o terminal flojo en conector</t>
        </is>
      </c>
      <c r="G15" s="3" t="inlineStr">
        <is>
          <t>CKP que genera P0335 solo en frenadas: mover mazo cerca del sensor mientras crankea</t>
        </is>
      </c>
    </row>
    <row r="16" ht="52" customHeight="1">
      <c r="A16" s="15" t="inlineStr">
        <is>
          <t>Estrés Térmico — Calor</t>
        </is>
      </c>
      <c r="B16" s="4" t="inlineStr">
        <is>
          <t>Pistola de aire caliente</t>
        </is>
      </c>
      <c r="C16" s="4" t="inlineStr">
        <is>
          <t>Fallas que solo ocurren con motor caliente</t>
        </is>
      </c>
      <c r="D16" s="4" t="inlineStr">
        <is>
          <t>Calentar gradualmente módulo o sección de cableado con pistola 60–80°C mientras se monitorea señal o código de falla</t>
        </is>
      </c>
      <c r="E16" s="4" t="inlineStr">
        <is>
          <t>Cambio en señal del sensor o aparición de DTC</t>
        </is>
      </c>
      <c r="F16" s="4" t="inlineStr">
        <is>
          <t>Si DTC aparece al calentar = componente con falla térmica (soldadura fría, capacitor degradado)</t>
        </is>
      </c>
      <c r="G16" s="4" t="inlineStr">
        <is>
          <t>ECU que falla en verano o después de 20 min de conducción</t>
        </is>
      </c>
    </row>
    <row r="17" ht="52" customHeight="1">
      <c r="A17" s="14" t="inlineStr">
        <is>
          <t>Estrés Térmico — Frío</t>
        </is>
      </c>
      <c r="B17" s="3" t="inlineStr">
        <is>
          <t>Aire comprimido invertido (congelante)</t>
        </is>
      </c>
      <c r="C17" s="3" t="inlineStr">
        <is>
          <t>Fallas solo en arranque frío o primera hora</t>
        </is>
      </c>
      <c r="D17" s="3" t="inlineStr">
        <is>
          <t>Rociar con refrigerante el módulo o componente sospechoso mientras se monitorea</t>
        </is>
      </c>
      <c r="E17" s="3" t="inlineStr">
        <is>
          <t>Cambio de señal o restablecimiento de falla</t>
        </is>
      </c>
      <c r="F17" s="3" t="inlineStr">
        <is>
          <t>Si DTC desaparece al enfriar = componente falla en frío (termistor abierto, condensador seco)</t>
        </is>
      </c>
      <c r="G17" s="3" t="inlineStr">
        <is>
          <t>Sensor O2 que solo falla en arranques a &lt;5°C (calentador abierto en frío)</t>
        </is>
      </c>
    </row>
    <row r="18" ht="52" customHeight="1">
      <c r="A18" s="15" t="inlineStr">
        <is>
          <t>Análisis de Glitches</t>
        </is>
      </c>
      <c r="B18" s="4" t="inlineStr">
        <is>
          <t>Osciloscopio (triggering en flanco)</t>
        </is>
      </c>
      <c r="C18" s="4" t="inlineStr">
        <is>
          <t>Cortes momentáneos que el escáner no captura</t>
        </is>
      </c>
      <c r="D18" s="4" t="inlineStr">
        <is>
          <t>Configurar trigger del osciloscopio en flanco descendente; dejar capturando 30+ min; buscar interrupciones &lt;1 ms en la señal</t>
        </is>
      </c>
      <c r="E18" s="4" t="inlineStr">
        <is>
          <t>Caídas bruscas a 0V o picos por encima del rango en señal de sensor</t>
        </is>
      </c>
      <c r="F18" s="4" t="inlineStr">
        <is>
          <t>Glitch = corte intermitente de cable o terminal suelto que el multímetro no detecta</t>
        </is>
      </c>
      <c r="G18" s="4" t="inlineStr">
        <is>
          <t>Sensor CMP con glitch causando cortes de encendido a 3500 RPM en aceleración</t>
        </is>
      </c>
    </row>
    <row r="19" ht="52" customHeight="1">
      <c r="A19" s="14" t="inlineStr">
        <is>
          <t>Runt Pulses (Pulsos Cortos)</t>
        </is>
      </c>
      <c r="B19" s="3" t="inlineStr">
        <is>
          <t>Osciloscopio digital</t>
        </is>
      </c>
      <c r="C19" s="3" t="inlineStr">
        <is>
          <t>Errores de comunicación CAN; DTCs U (red) intermitentes</t>
        </is>
      </c>
      <c r="D19" s="3" t="inlineStr">
        <is>
          <t>Medir señal CAN con osciloscopio diferencial entre CAN-H y CAN-L. Buscar pulsos que no alcancen el umbral de 2V diferencial</t>
        </is>
      </c>
      <c r="E19" s="3" t="inlineStr">
        <is>
          <t>Pulsos que solo llegan a 1V diferencial en vez de 2V</t>
        </is>
      </c>
      <c r="F19" s="3" t="inlineStr">
        <is>
          <t>Alta resistencia en cableado CAN; conector oxidado reduce amplitud → módulos no reconocen mensaje</t>
        </is>
      </c>
      <c r="G19" s="3" t="inlineStr">
        <is>
          <t>Gateway que reporta U0100 (pérdida comunicación ECM) solo en vibración a 80 km/h</t>
        </is>
      </c>
    </row>
    <row r="20" ht="52" customHeight="1">
      <c r="A20" s="15" t="inlineStr">
        <is>
          <t>Prueba de Caída de Voltaje</t>
        </is>
      </c>
      <c r="B20" s="4" t="inlineStr">
        <is>
          <t>Multímetro DC (modo voltaje)</t>
        </is>
      </c>
      <c r="C20" s="4" t="inlineStr">
        <is>
          <t>Diagnóstico de masa deficiente; sensores con lectura errónea</t>
        </is>
      </c>
      <c r="D20" s="4" t="inlineStr">
        <is>
          <t>Componente en carga activa. Multímetro entre terminal (–) del componente y borne (–) de batería. Medir con carga máxima</t>
        </is>
      </c>
      <c r="E20" s="4" t="inlineStr">
        <is>
          <t>Voltaje en mV entre masa componente y batería</t>
        </is>
      </c>
      <c r="F20" s="4" t="inlineStr">
        <is>
          <t>&lt;100 mV = correcto; 100–500 mV = masa degradada; &gt;500 mV = causa de fallas de sensor y DTC fantasma</t>
        </is>
      </c>
      <c r="G20" s="4" t="inlineStr">
        <is>
          <t>Sensor MAF con LTFT +20% sin fuga de aire: masa del MAF con 350 mV de caída</t>
        </is>
      </c>
    </row>
    <row r="21" ht="52" customHeight="1">
      <c r="A21" s="14" t="inlineStr">
        <is>
          <t>Programación / Flasheo J2534</t>
        </is>
      </c>
      <c r="B21" s="3" t="inlineStr">
        <is>
          <t>PC + interfaz J2534 + fuente estabilizada 13.5V</t>
        </is>
      </c>
      <c r="C21" s="3" t="inlineStr">
        <is>
          <t>Reemplazo de ECU, actualización OTA de calibración, sincronía IMMO</t>
        </is>
      </c>
      <c r="D21" s="3" t="inlineStr">
        <is>
          <t>1. Conectar fuente estabilizada 13.5V. 2. Conectar J2534 al OBD2. 3. Descargar calibración del servidor OEM. 4. Transferir al módulo (5–45 min). 5. No interrumpir bajo ningún concepto</t>
        </is>
      </c>
      <c r="E21" s="3" t="inlineStr">
        <is>
          <t>Barra de progreso en software OEM; verificar voltaje estable durante todo el proceso</t>
        </is>
      </c>
      <c r="F21" s="3" t="inlineStr">
        <is>
          <t>Si voltaje cae &lt;11.5V o se interrumpe = ECU 'ladrillada' (bricked) — requiere programador externo JTAG</t>
        </is>
      </c>
      <c r="G21" s="3" t="inlineStr">
        <is>
          <t>Reemplazo de PCM Ford F-150 5.0L: IDS + VCM3 + fuente CTEK 13.5V constante</t>
        </is>
      </c>
    </row>
    <row r="22">
      <c r="A22" s="11" t="n"/>
      <c r="B22" s="11" t="n"/>
      <c r="C22" s="11" t="n"/>
      <c r="D22" s="11" t="n"/>
      <c r="E22" s="11" t="n"/>
      <c r="F22" s="11" t="n"/>
      <c r="G22" s="11" t="n"/>
    </row>
  </sheetData>
  <mergeCells count="2">
    <mergeCell ref="A13:G13"/>
    <mergeCell ref="A1:G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cols>
    <col width="22" customWidth="1" min="1" max="1"/>
    <col width="14" customWidth="1" min="2" max="2"/>
    <col width="12" customWidth="1" min="3" max="3"/>
    <col width="16" customWidth="1" min="4" max="4"/>
    <col width="16" customWidth="1" min="5" max="5"/>
    <col width="44" customWidth="1" min="6" max="6"/>
    <col width="22" customWidth="1" min="7" max="7"/>
    <col width="44" customWidth="1" min="8" max="8"/>
  </cols>
  <sheetData>
    <row r="1" ht="24" customHeight="1">
      <c r="A1" s="1" t="inlineStr">
        <is>
          <t>MOTORES CARBURADOS CLÁSICOS — Especificaciones vs Inyección Electrónica (EFI)</t>
        </is>
      </c>
    </row>
    <row r="2" ht="30" customHeight="1">
      <c r="A2" s="2" t="inlineStr">
        <is>
          <t>Marca / Modelo</t>
        </is>
      </c>
      <c r="B2" s="2" t="inlineStr">
        <is>
          <t>Año / Gen</t>
        </is>
      </c>
      <c r="C2" s="2" t="inlineStr">
        <is>
          <t>Motor (Disp)</t>
        </is>
      </c>
      <c r="D2" s="2" t="inlineStr">
        <is>
          <t>Carburador</t>
        </is>
      </c>
      <c r="E2" s="2" t="inlineStr">
        <is>
          <t>Potencia (HP)</t>
        </is>
      </c>
      <c r="F2" s="2" t="inlineStr">
        <is>
          <t>Torque (lb-ft)</t>
        </is>
      </c>
      <c r="G2" s="2" t="inlineStr">
        <is>
          <t>Relación Compresión</t>
        </is>
      </c>
      <c r="H2" s="2" t="inlineStr">
        <is>
          <t>Sistema Gestión</t>
        </is>
      </c>
    </row>
    <row r="3" ht="38" customHeight="1">
      <c r="A3" s="9" t="inlineStr">
        <is>
          <t>Chevrolet Camaro</t>
        </is>
      </c>
      <c r="B3" s="3" t="inlineStr">
        <is>
          <t>1967-70</t>
        </is>
      </c>
      <c r="C3" s="3" t="inlineStr">
        <is>
          <t>307 cu-in (5.0L)</t>
        </is>
      </c>
      <c r="D3" s="3" t="inlineStr">
        <is>
          <t>2bbl Rochester</t>
        </is>
      </c>
      <c r="E3" s="14" t="inlineStr">
        <is>
          <t>200 @ 4600 rpm</t>
        </is>
      </c>
      <c r="F3" s="14" t="inlineStr">
        <is>
          <t>300 @ 2400 rpm</t>
        </is>
      </c>
      <c r="G3" s="3" t="inlineStr">
        <is>
          <t>9.0:1</t>
        </is>
      </c>
      <c r="H3" s="3" t="inlineStr">
        <is>
          <t>Carburador — sin control electrónico</t>
        </is>
      </c>
    </row>
    <row r="4" ht="38" customHeight="1">
      <c r="A4" s="10" t="inlineStr">
        <is>
          <t>Chevrolet Camaro</t>
        </is>
      </c>
      <c r="B4" s="4" t="inlineStr">
        <is>
          <t>1967-70</t>
        </is>
      </c>
      <c r="C4" s="4" t="inlineStr">
        <is>
          <t>350 cu-in (5.7L)</t>
        </is>
      </c>
      <c r="D4" s="4" t="inlineStr">
        <is>
          <t>2bbl Rochester</t>
        </is>
      </c>
      <c r="E4" s="15" t="inlineStr">
        <is>
          <t>250 @ 4800 rpm</t>
        </is>
      </c>
      <c r="F4" s="15" t="inlineStr">
        <is>
          <t>345 @ 2800 rpm</t>
        </is>
      </c>
      <c r="G4" s="4" t="inlineStr">
        <is>
          <t>9.0:1</t>
        </is>
      </c>
      <c r="H4" s="4" t="inlineStr">
        <is>
          <t>Carburador — eficiencia volumétrica ~80% en punto de torque</t>
        </is>
      </c>
    </row>
    <row r="5" ht="38" customHeight="1">
      <c r="A5" s="9" t="inlineStr">
        <is>
          <t>Chevrolet Camaro</t>
        </is>
      </c>
      <c r="B5" s="3" t="inlineStr">
        <is>
          <t>1967-70</t>
        </is>
      </c>
      <c r="C5" s="3" t="inlineStr">
        <is>
          <t>350 cu-in (5.7L)</t>
        </is>
      </c>
      <c r="D5" s="3" t="inlineStr">
        <is>
          <t>4bbl Rochester</t>
        </is>
      </c>
      <c r="E5" s="14" t="inlineStr">
        <is>
          <t>300 @ 4800 rpm</t>
        </is>
      </c>
      <c r="F5" s="14" t="inlineStr">
        <is>
          <t>380 @ 3200 rpm</t>
        </is>
      </c>
      <c r="G5" s="3" t="inlineStr">
        <is>
          <t>10.25:1</t>
        </is>
      </c>
      <c r="H5" s="3" t="inlineStr">
        <is>
          <t>Carburador 4bbl — mayor flujo de aire por 4 gargantas</t>
        </is>
      </c>
    </row>
    <row r="6" ht="38" customHeight="1">
      <c r="A6" s="10" t="inlineStr">
        <is>
          <t>Chevrolet Camaro</t>
        </is>
      </c>
      <c r="B6" s="4" t="inlineStr">
        <is>
          <t>1967-70</t>
        </is>
      </c>
      <c r="C6" s="4" t="inlineStr">
        <is>
          <t>350 cu-in (5.7L)</t>
        </is>
      </c>
      <c r="D6" s="4" t="inlineStr">
        <is>
          <t>4bbl Holley</t>
        </is>
      </c>
      <c r="E6" s="15" t="inlineStr">
        <is>
          <t>360 @ 6000 rpm</t>
        </is>
      </c>
      <c r="F6" s="15" t="inlineStr">
        <is>
          <t>380 @ 4000 rpm</t>
        </is>
      </c>
      <c r="G6" s="4" t="inlineStr">
        <is>
          <t>11.0:1</t>
        </is>
      </c>
      <c r="H6" s="4" t="inlineStr">
        <is>
          <t>Carburador Holley — alto flujo, mayor consumo, sin control de emisiones</t>
        </is>
      </c>
    </row>
    <row r="7" ht="38" customHeight="1">
      <c r="A7" s="9" t="inlineStr">
        <is>
          <t>Chevrolet Camaro</t>
        </is>
      </c>
      <c r="B7" s="3" t="inlineStr">
        <is>
          <t>1967-70</t>
        </is>
      </c>
      <c r="C7" s="3" t="inlineStr">
        <is>
          <t>402 cu-in (6.6L)</t>
        </is>
      </c>
      <c r="D7" s="3" t="inlineStr">
        <is>
          <t>4bbl Holley</t>
        </is>
      </c>
      <c r="E7" s="14" t="inlineStr">
        <is>
          <t>375 @ 5600 rpm</t>
        </is>
      </c>
      <c r="F7" s="14" t="inlineStr">
        <is>
          <t>415 @ 3600 rpm</t>
        </is>
      </c>
      <c r="G7" s="3" t="inlineStr">
        <is>
          <t>11.0:1</t>
        </is>
      </c>
      <c r="H7" s="3" t="inlineStr">
        <is>
          <t>Motor 'big-block' — potencia máxima de la era carburada GM</t>
        </is>
      </c>
    </row>
    <row r="8" ht="38" customHeight="1">
      <c r="A8" s="10" t="inlineStr">
        <is>
          <t>Chevrolet Camaro</t>
        </is>
      </c>
      <c r="B8" s="4" t="inlineStr">
        <is>
          <t>1971-81</t>
        </is>
      </c>
      <c r="C8" s="4" t="inlineStr">
        <is>
          <t>307 cu-in (5.0L)</t>
        </is>
      </c>
      <c r="D8" s="4" t="inlineStr">
        <is>
          <t>2bbl Rochester</t>
        </is>
      </c>
      <c r="E8" s="15" t="inlineStr">
        <is>
          <t>200 @ 4600 rpm</t>
        </is>
      </c>
      <c r="F8" s="15" t="inlineStr">
        <is>
          <t>300 @ 2400 rpm</t>
        </is>
      </c>
      <c r="G8" s="4" t="inlineStr">
        <is>
          <t>8.5:1</t>
        </is>
      </c>
      <c r="H8" s="4" t="inlineStr">
        <is>
          <t>Reducción de compresión por combustibles sin plomo</t>
        </is>
      </c>
    </row>
    <row r="9" ht="38" customHeight="1">
      <c r="A9" s="9" t="inlineStr">
        <is>
          <t>Chevrolet Camaro</t>
        </is>
      </c>
      <c r="B9" s="3" t="inlineStr">
        <is>
          <t>1971-81</t>
        </is>
      </c>
      <c r="C9" s="3" t="inlineStr">
        <is>
          <t>350 cu-in (5.7L)</t>
        </is>
      </c>
      <c r="D9" s="3" t="inlineStr">
        <is>
          <t>4bbl Rochester</t>
        </is>
      </c>
      <c r="E9" s="14" t="inlineStr">
        <is>
          <t>270 @ 4800 rpm</t>
        </is>
      </c>
      <c r="F9" s="14" t="inlineStr">
        <is>
          <t>360 @ 3200 rpm</t>
        </is>
      </c>
      <c r="G9" s="3" t="inlineStr">
        <is>
          <t>8.5:1</t>
        </is>
      </c>
      <c r="H9" s="3" t="inlineStr">
        <is>
          <t>Era post-crisis del petróleo — reducción de compresión</t>
        </is>
      </c>
    </row>
    <row r="10" ht="38" customHeight="1">
      <c r="A10" s="10" t="inlineStr">
        <is>
          <t>Citroën Axel 12 TRS</t>
        </is>
      </c>
      <c r="B10" s="4" t="inlineStr">
        <is>
          <t>1984</t>
        </is>
      </c>
      <c r="C10" s="4" t="inlineStr">
        <is>
          <t>1299 cm³</t>
        </is>
      </c>
      <c r="D10" s="4" t="inlineStr">
        <is>
          <t>Solex 28 CIC</t>
        </is>
      </c>
      <c r="E10" s="15" t="inlineStr">
        <is>
          <t>65 (aprox)</t>
        </is>
      </c>
      <c r="F10" s="15" t="inlineStr">
        <is>
          <t>N/D</t>
        </is>
      </c>
      <c r="G10" s="4" t="inlineStr">
        <is>
          <t>N/D</t>
        </is>
      </c>
      <c r="H10" s="4" t="inlineStr">
        <is>
          <t>Carburador europeo de bajo costo — último período carburado en Europa</t>
        </is>
      </c>
    </row>
    <row r="11" ht="38" customHeight="1">
      <c r="A11" s="9" t="inlineStr">
        <is>
          <t>Dodge Zeder Storm Z-250</t>
        </is>
      </c>
      <c r="B11" s="3" t="inlineStr">
        <is>
          <t>1954</t>
        </is>
      </c>
      <c r="C11" s="3" t="inlineStr">
        <is>
          <t>5155 cm³</t>
        </is>
      </c>
      <c r="D11" s="3" t="inlineStr">
        <is>
          <t>Carburador doble</t>
        </is>
      </c>
      <c r="E11" s="14" t="inlineStr">
        <is>
          <t>260</t>
        </is>
      </c>
      <c r="F11" s="14" t="inlineStr">
        <is>
          <t>N/D</t>
        </is>
      </c>
      <c r="G11" s="3" t="inlineStr">
        <is>
          <t>N/D</t>
        </is>
      </c>
      <c r="H11" s="3" t="inlineStr">
        <is>
          <t>Era del diseño aerodinámico — ningún control electrónico</t>
        </is>
      </c>
    </row>
    <row r="12" ht="38" customHeight="1">
      <c r="A12" s="10" t="inlineStr">
        <is>
          <t>BMW 2000 C Automatic</t>
        </is>
      </c>
      <c r="B12" s="4" t="inlineStr">
        <is>
          <t>1965</t>
        </is>
      </c>
      <c r="C12" s="4" t="inlineStr">
        <is>
          <t>1990 cm³</t>
        </is>
      </c>
      <c r="D12" s="4" t="inlineStr">
        <is>
          <t>Carburador</t>
        </is>
      </c>
      <c r="E12" s="15" t="inlineStr">
        <is>
          <t>99</t>
        </is>
      </c>
      <c r="F12" s="15" t="inlineStr">
        <is>
          <t>N/D</t>
        </is>
      </c>
      <c r="G12" s="4" t="inlineStr">
        <is>
          <t>N/D</t>
        </is>
      </c>
      <c r="H12" s="4" t="inlineStr">
        <is>
          <t>Pre-electrónica; inicio de la era de motores de 4 cil. europeos compactos</t>
        </is>
      </c>
    </row>
    <row r="13" ht="38" customHeight="1">
      <c r="A13" s="9" t="inlineStr">
        <is>
          <t>Mazda RX4</t>
        </is>
      </c>
      <c r="B13" s="3" t="inlineStr">
        <is>
          <t>1974</t>
        </is>
      </c>
      <c r="C13" s="3" t="inlineStr">
        <is>
          <t>2.6L (Rotativo Wankel)</t>
        </is>
      </c>
      <c r="D13" s="3" t="inlineStr">
        <is>
          <t>2 carburadores</t>
        </is>
      </c>
      <c r="E13" s="14" t="inlineStr">
        <is>
          <t>110</t>
        </is>
      </c>
      <c r="F13" s="14" t="inlineStr">
        <is>
          <t>N/D</t>
        </is>
      </c>
      <c r="G13" s="3" t="inlineStr">
        <is>
          <t>N/D</t>
        </is>
      </c>
      <c r="H13" s="3" t="inlineStr">
        <is>
          <t>Motor rotativo — combustión diferente; no aplica relación de compresión convencional</t>
        </is>
      </c>
    </row>
    <row r="14" ht="38" customHeight="1"/>
    <row r="15" ht="38" customHeight="1"/>
    <row r="16" ht="38" customHeight="1">
      <c r="A16" s="1" t="inlineStr">
        <is>
          <t>EVOLUCIÓN HACIA EFI — Motores Modernos de Referencia (1993-2025)</t>
        </is>
      </c>
    </row>
    <row r="17" ht="38" customHeight="1">
      <c r="A17" s="2" t="inlineStr">
        <is>
          <t>Marca</t>
        </is>
      </c>
      <c r="B17" s="2" t="inlineStr">
        <is>
          <t>Modelo / Versión</t>
        </is>
      </c>
      <c r="C17" s="2" t="inlineStr">
        <is>
          <t>Año</t>
        </is>
      </c>
      <c r="D17" s="2" t="inlineStr">
        <is>
          <t>Cilindrada</t>
        </is>
      </c>
      <c r="E17" s="2" t="inlineStr">
        <is>
          <t>Potencia (HP)</t>
        </is>
      </c>
      <c r="F17" s="2" t="inlineStr">
        <is>
          <t>Sistema de Gestión / ECU</t>
        </is>
      </c>
      <c r="G17" s="2" t="inlineStr">
        <is>
          <t>Protocolo</t>
        </is>
      </c>
      <c r="H17" s="2" t="inlineStr">
        <is>
          <t>Nota Técnica</t>
        </is>
      </c>
    </row>
    <row r="18" ht="38" customHeight="1">
      <c r="A18" s="9" t="inlineStr">
        <is>
          <t>Honda</t>
        </is>
      </c>
      <c r="B18" s="3" t="inlineStr">
        <is>
          <t>Civic Si (B16A2)</t>
        </is>
      </c>
      <c r="C18" s="3" t="inlineStr">
        <is>
          <t>1999</t>
        </is>
      </c>
      <c r="D18" s="3" t="inlineStr">
        <is>
          <t>1595 cm³</t>
        </is>
      </c>
      <c r="E18" s="14" t="inlineStr">
        <is>
          <t>160</t>
        </is>
      </c>
      <c r="F18" s="3" t="inlineStr">
        <is>
          <t>OBD2 (P2T) — Bosch/Honda</t>
        </is>
      </c>
      <c r="G18" s="28" t="inlineStr">
        <is>
          <t>K-Line + CAN</t>
        </is>
      </c>
      <c r="H18" s="3" t="inlineStr">
        <is>
          <t>Primer Honda con CAN diagnóstico; VTEC controlado por ECU; IMMO integrado</t>
        </is>
      </c>
    </row>
    <row r="19" ht="38" customHeight="1">
      <c r="A19" s="10" t="inlineStr">
        <is>
          <t>Toyota</t>
        </is>
      </c>
      <c r="B19" s="4" t="inlineStr">
        <is>
          <t>Corolla (4A-FE)</t>
        </is>
      </c>
      <c r="C19" s="4" t="inlineStr">
        <is>
          <t>1993</t>
        </is>
      </c>
      <c r="D19" s="4" t="inlineStr">
        <is>
          <t>1587 cm³</t>
        </is>
      </c>
      <c r="E19" s="15" t="inlineStr">
        <is>
          <t>105</t>
        </is>
      </c>
      <c r="F19" s="4" t="inlineStr">
        <is>
          <t>TCCS (Toyota Computer Control System)</t>
        </is>
      </c>
      <c r="G19" s="29" t="inlineStr">
        <is>
          <t>ISO 9141-2</t>
        </is>
      </c>
      <c r="H19" s="4" t="inlineStr">
        <is>
          <t>Sistema Toyota propio; sensor MAF hilo caliente; distribuidor con sensor Hall CMP</t>
        </is>
      </c>
    </row>
    <row r="20" ht="38" customHeight="1">
      <c r="A20" s="9" t="inlineStr">
        <is>
          <t>Volkswagen</t>
        </is>
      </c>
      <c r="B20" s="3" t="inlineStr">
        <is>
          <t>Jetta TDI (ALH)</t>
        </is>
      </c>
      <c r="C20" s="3" t="inlineStr">
        <is>
          <t>2004</t>
        </is>
      </c>
      <c r="D20" s="3" t="inlineStr">
        <is>
          <t>1896 cm³ Diesel</t>
        </is>
      </c>
      <c r="E20" s="14" t="inlineStr">
        <is>
          <t>90</t>
        </is>
      </c>
      <c r="F20" s="3" t="inlineStr">
        <is>
          <t>Bosch EDC15 (038906012)</t>
        </is>
      </c>
      <c r="G20" s="28" t="inlineStr">
        <is>
          <t>K-Line</t>
        </is>
      </c>
      <c r="H20" s="3" t="inlineStr">
        <is>
          <t>Bomba rotativa electrónica; 121 pines; referencia para swap en México</t>
        </is>
      </c>
    </row>
    <row r="21" ht="38" customHeight="1">
      <c r="A21" s="10" t="inlineStr">
        <is>
          <t>Audi</t>
        </is>
      </c>
      <c r="B21" s="4" t="inlineStr">
        <is>
          <t>A3 TDI (ALH)</t>
        </is>
      </c>
      <c r="C21" s="4" t="inlineStr">
        <is>
          <t>2003</t>
        </is>
      </c>
      <c r="D21" s="4" t="inlineStr">
        <is>
          <t>1896 cm³ Diesel</t>
        </is>
      </c>
      <c r="E21" s="15" t="inlineStr">
        <is>
          <t>90</t>
        </is>
      </c>
      <c r="F21" s="4" t="inlineStr">
        <is>
          <t>Bosch EDC15</t>
        </is>
      </c>
      <c r="G21" s="29" t="inlineStr">
        <is>
          <t>K-Line</t>
        </is>
      </c>
      <c r="H21" s="4" t="inlineStr">
        <is>
          <t>Misma ECU que Jetta ALH; intercambiable con adaptación de IMMO</t>
        </is>
      </c>
    </row>
    <row r="22" ht="38" customHeight="1">
      <c r="A22" s="9" t="inlineStr">
        <is>
          <t>Hyundai</t>
        </is>
      </c>
      <c r="B22" s="3" t="inlineStr">
        <is>
          <t>Avante N</t>
        </is>
      </c>
      <c r="C22" s="3" t="inlineStr">
        <is>
          <t>2025</t>
        </is>
      </c>
      <c r="D22" s="3" t="inlineStr">
        <is>
          <t>1998 cm³ Turbo</t>
        </is>
      </c>
      <c r="E22" s="14" t="inlineStr">
        <is>
          <t>276</t>
        </is>
      </c>
      <c r="F22" s="3" t="inlineStr">
        <is>
          <t>Bosch/Continental MED17</t>
        </is>
      </c>
      <c r="G22" s="28" t="inlineStr">
        <is>
          <t>CAN-FD</t>
        </is>
      </c>
      <c r="H22" s="3" t="inlineStr">
        <is>
          <t>Control de torque vectorial; modos de conducción por CAN-FD; integra ESC y EPS</t>
        </is>
      </c>
    </row>
    <row r="23" ht="38" customHeight="1">
      <c r="A23" s="10" t="inlineStr">
        <is>
          <t>Kia</t>
        </is>
      </c>
      <c r="B23" s="4" t="inlineStr">
        <is>
          <t>EV5 GT</t>
        </is>
      </c>
      <c r="C23" s="4" t="inlineStr">
        <is>
          <t>2025</t>
        </is>
      </c>
      <c r="D23" s="4" t="inlineStr">
        <is>
          <t>N/A (Eléctrico 800V)</t>
        </is>
      </c>
      <c r="E23" s="15" t="inlineStr">
        <is>
          <t>306</t>
        </is>
      </c>
      <c r="F23" s="4" t="inlineStr">
        <is>
          <t>Controlador de Potencia Hyundai E-GMP</t>
        </is>
      </c>
      <c r="G23" s="29" t="inlineStr">
        <is>
          <t>Automotive Ethernet</t>
        </is>
      </c>
      <c r="H23" s="4" t="inlineStr">
        <is>
          <t>Plataforma 800V; carga ultra-rápida 350 kW; sin ECU motor convencional</t>
        </is>
      </c>
    </row>
    <row r="24" ht="38" customHeight="1">
      <c r="A24" s="9" t="inlineStr">
        <is>
          <t>Ferrari</t>
        </is>
      </c>
      <c r="B24" s="3" t="inlineStr">
        <is>
          <t>F80</t>
        </is>
      </c>
      <c r="C24" s="3" t="inlineStr">
        <is>
          <t>2025</t>
        </is>
      </c>
      <c r="D24" s="3" t="inlineStr">
        <is>
          <t>2992 cm³ Biturbo Híbrido</t>
        </is>
      </c>
      <c r="E24" s="14" t="inlineStr">
        <is>
          <t>888</t>
        </is>
      </c>
      <c r="F24" s="3" t="inlineStr">
        <is>
          <t>Gestión Inyección Directa + Motores Eléctricos ERS</t>
        </is>
      </c>
      <c r="G24" s="28" t="inlineStr">
        <is>
          <t>CAN + Ethernet</t>
        </is>
      </c>
      <c r="H24" s="3" t="inlineStr">
        <is>
          <t>Híbrido de altas prestaciones; ECU gestiona motor ICE + 3 motores eléctricos</t>
        </is>
      </c>
    </row>
    <row r="25" ht="38" customHeight="1">
      <c r="A25" s="10" t="inlineStr">
        <is>
          <t>Bugatti</t>
        </is>
      </c>
      <c r="B25" s="4" t="inlineStr">
        <is>
          <t>Tourbillon</t>
        </is>
      </c>
      <c r="C25" s="4" t="inlineStr">
        <is>
          <t>2025</t>
        </is>
      </c>
      <c r="D25" s="4" t="inlineStr">
        <is>
          <t>8355 cm³ V16 Híbrido</t>
        </is>
      </c>
      <c r="E25" s="15" t="inlineStr">
        <is>
          <t>986</t>
        </is>
      </c>
      <c r="F25" s="4" t="inlineStr">
        <is>
          <t>Gestión Multipunto 16 cilindros + ERS</t>
        </is>
      </c>
      <c r="G25" s="29" t="inlineStr">
        <is>
          <t>Ethernet Automotriz 1 Gbps</t>
        </is>
      </c>
      <c r="H25" s="4" t="inlineStr">
        <is>
          <t>16 cilindros + sistema híbrido; mayor ancho de banda de CAN de la historia automotriz</t>
        </is>
      </c>
    </row>
    <row r="26" ht="38" customHeight="1">
      <c r="A26" s="11" t="n"/>
      <c r="B26" s="11" t="n"/>
      <c r="C26" s="11" t="n"/>
      <c r="D26" s="11" t="n"/>
      <c r="E26" s="11" t="n"/>
      <c r="F26" s="11" t="n"/>
      <c r="G26" s="11" t="n"/>
      <c r="H26" s="11" t="n"/>
    </row>
  </sheetData>
  <mergeCells count="2">
    <mergeCell ref="A16:H16"/>
    <mergeCell ref="A1:H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12" customWidth="1" min="1" max="1"/>
    <col width="28" customWidth="1" min="2" max="2"/>
    <col width="22" customWidth="1" min="3" max="3"/>
    <col width="18" customWidth="1" min="4" max="4"/>
    <col width="26" customWidth="1" min="5" max="5"/>
    <col width="44" customWidth="1" min="6" max="6"/>
    <col width="40" customWidth="1" min="7" max="7"/>
  </cols>
  <sheetData>
    <row r="1" ht="24" customHeight="1">
      <c r="A1" s="1" t="inlineStr">
        <is>
          <t>PINOUTS ECU ESPECÍFICOS — Toyota 2JZ-GTE VVTi / VW ALH 1.9 TDI / OBD2 DLC 16 pines</t>
        </is>
      </c>
    </row>
    <row r="2" ht="20" customHeight="1">
      <c r="A2" s="1" t="inlineStr">
        <is>
          <t>TOYOTA 2JZ-GTE VVTi — ECU Aristo JZS161 / Supra JZA80 (Conector B1)</t>
        </is>
      </c>
    </row>
    <row r="3" ht="40" customHeight="1">
      <c r="A3" s="2" t="inlineStr">
        <is>
          <t>Conector</t>
        </is>
      </c>
      <c r="B3" s="2" t="inlineStr">
        <is>
          <t>Pin</t>
        </is>
      </c>
      <c r="C3" s="2" t="inlineStr">
        <is>
          <t>Símbolo</t>
        </is>
      </c>
      <c r="D3" s="2" t="inlineStr">
        <is>
          <t>Función / Descripción</t>
        </is>
      </c>
      <c r="E3" s="2" t="inlineStr">
        <is>
          <t>Tipo de Señal</t>
        </is>
      </c>
      <c r="F3" s="2" t="inlineStr">
        <is>
          <t>Voltaje Referencia</t>
        </is>
      </c>
      <c r="G3" s="2" t="inlineStr">
        <is>
          <t>Nota</t>
        </is>
      </c>
    </row>
    <row r="4" ht="40" customHeight="1">
      <c r="A4" s="3" t="inlineStr">
        <is>
          <t>B1 (Aristo/Supra)</t>
        </is>
      </c>
      <c r="B4" s="16" t="inlineStr">
        <is>
          <t>1</t>
        </is>
      </c>
      <c r="C4" s="14" t="inlineStr">
        <is>
          <t>#30</t>
        </is>
      </c>
      <c r="D4" s="3" t="inlineStr">
        <is>
          <t>Control Inyector No. 3</t>
        </is>
      </c>
      <c r="E4" s="3" t="inlineStr">
        <is>
          <t>Salida GND conmutado</t>
        </is>
      </c>
      <c r="F4" s="3" t="inlineStr">
        <is>
          <t>0V activo / 12V inactivo</t>
        </is>
      </c>
      <c r="G4" s="3" t="inlineStr">
        <is>
          <t>ECU controla inyectores por lado de masa; verificar pulso con osciloscopio</t>
        </is>
      </c>
    </row>
    <row r="5" ht="40" customHeight="1">
      <c r="A5" s="4" t="inlineStr">
        <is>
          <t>B1 (Aristo/Supra)</t>
        </is>
      </c>
      <c r="B5" s="17" t="inlineStr">
        <is>
          <t>7</t>
        </is>
      </c>
      <c r="C5" s="15" t="inlineStr">
        <is>
          <t>M-</t>
        </is>
      </c>
      <c r="D5" s="4" t="inlineStr">
        <is>
          <t>Motor ETCS-i — Control Mariposa Electrónica (negativo)</t>
        </is>
      </c>
      <c r="E5" s="4" t="inlineStr">
        <is>
          <t>Salida PWM H-Bridge</t>
        </is>
      </c>
      <c r="F5" s="4" t="inlineStr">
        <is>
          <t>0–12V PWM</t>
        </is>
      </c>
      <c r="G5" s="4" t="inlineStr">
        <is>
          <t>Par con M+; puente H para control bidireccional de motor DC de mariposa</t>
        </is>
      </c>
    </row>
    <row r="6" ht="40" customHeight="1">
      <c r="A6" s="3" t="inlineStr">
        <is>
          <t>B1 (Aristo/Supra)</t>
        </is>
      </c>
      <c r="B6" s="16" t="inlineStr">
        <is>
          <t>8</t>
        </is>
      </c>
      <c r="C6" s="14" t="inlineStr">
        <is>
          <t>M+</t>
        </is>
      </c>
      <c r="D6" s="3" t="inlineStr">
        <is>
          <t>Motor ETCS-i — Control Mariposa Electrónica (positivo)</t>
        </is>
      </c>
      <c r="E6" s="3" t="inlineStr">
        <is>
          <t>Salida PWM H-Bridge</t>
        </is>
      </c>
      <c r="F6" s="3" t="inlineStr">
        <is>
          <t>0–12V PWM</t>
        </is>
      </c>
      <c r="G6" s="3" t="inlineStr">
        <is>
          <t>ETCS-i elimina cable de acelerador mecánico; fallo = DTC P1120 + limp mode</t>
        </is>
      </c>
    </row>
    <row r="7" ht="40" customHeight="1">
      <c r="A7" s="4" t="inlineStr">
        <is>
          <t>B1 (Aristo/Supra)</t>
        </is>
      </c>
      <c r="B7" s="17" t="inlineStr">
        <is>
          <t>10</t>
        </is>
      </c>
      <c r="C7" s="15" t="inlineStr">
        <is>
          <t>G2</t>
        </is>
      </c>
      <c r="D7" s="4" t="inlineStr">
        <is>
          <t>Posición Árbol de Levas (Intake) — CMP</t>
        </is>
      </c>
      <c r="E7" s="4" t="inlineStr">
        <is>
          <t>Entrada Reluctor inductivo</t>
        </is>
      </c>
      <c r="F7" s="4" t="inlineStr">
        <is>
          <t>AC variable 0.5–5V según RPM</t>
        </is>
      </c>
      <c r="G7" s="4" t="inlineStr">
        <is>
          <t>Sensor inductivo de 2 cables; frecuencia = 1 pulso/revolución árbol levas</t>
        </is>
      </c>
    </row>
    <row r="8" ht="40" customHeight="1">
      <c r="A8" s="3" t="inlineStr">
        <is>
          <t>B1 (Aristo/Supra)</t>
        </is>
      </c>
      <c r="B8" s="16" t="inlineStr">
        <is>
          <t>11</t>
        </is>
      </c>
      <c r="C8" s="14" t="inlineStr">
        <is>
          <t>IGT</t>
        </is>
      </c>
      <c r="D8" s="3" t="inlineStr">
        <is>
          <t>Gatillo de Ignición Cilindros 1 y 6</t>
        </is>
      </c>
      <c r="E8" s="3" t="inlineStr">
        <is>
          <t>Salida digital 5V</t>
        </is>
      </c>
      <c r="F8" s="3" t="inlineStr">
        <is>
          <t>0V / 5V pulso</t>
        </is>
      </c>
      <c r="G8" s="3" t="inlineStr">
        <is>
          <t>Señal de disparo a la bobina de encendido COP; osciloscopio para verificar timing</t>
        </is>
      </c>
    </row>
    <row r="9" ht="40" customHeight="1">
      <c r="A9" s="4" t="inlineStr">
        <is>
          <t>B1 (Aristo/Supra)</t>
        </is>
      </c>
      <c r="B9" s="17" t="inlineStr">
        <is>
          <t>17</t>
        </is>
      </c>
      <c r="C9" s="15" t="inlineStr">
        <is>
          <t>OCV</t>
        </is>
      </c>
      <c r="D9" s="4" t="inlineStr">
        <is>
          <t>Solenoide VVTi (Oil Control Valve)</t>
        </is>
      </c>
      <c r="E9" s="4" t="inlineStr">
        <is>
          <t>Salida PWM</t>
        </is>
      </c>
      <c r="F9" s="4" t="inlineStr">
        <is>
          <t>0–12V duty cycle variable</t>
        </is>
      </c>
      <c r="G9" s="4" t="inlineStr">
        <is>
          <t>Controla avance de árbol de levas; duty cycle alto = máximo avance; DTC P1349 si falla</t>
        </is>
      </c>
    </row>
    <row r="10" ht="40" customHeight="1">
      <c r="A10" s="3" t="inlineStr">
        <is>
          <t>B1 (Aristo/Supra)</t>
        </is>
      </c>
      <c r="B10" s="16" t="inlineStr">
        <is>
          <t>19</t>
        </is>
      </c>
      <c r="C10" s="14" t="inlineStr">
        <is>
          <t>CL-</t>
        </is>
      </c>
      <c r="D10" s="3" t="inlineStr">
        <is>
          <t>Embrague ETCS-i — Seguridad</t>
        </is>
      </c>
      <c r="E10" s="3" t="inlineStr">
        <is>
          <t>Salida de seguridad</t>
        </is>
      </c>
      <c r="F10" s="3" t="inlineStr">
        <is>
          <t>12V normal / 0V activo</t>
        </is>
      </c>
      <c r="G10" s="3" t="inlineStr">
        <is>
          <t>Corta el ETCS-i en caso de fallo del sistema electrónico de mariposa</t>
        </is>
      </c>
    </row>
    <row r="11" ht="40" customHeight="1">
      <c r="A11" s="4" t="inlineStr">
        <is>
          <t>B1 (Aristo/Supra)</t>
        </is>
      </c>
      <c r="B11" s="17" t="inlineStr">
        <is>
          <t>E1</t>
        </is>
      </c>
      <c r="C11" s="15" t="inlineStr">
        <is>
          <t>E1</t>
        </is>
      </c>
      <c r="D11" s="4" t="inlineStr">
        <is>
          <t>Tierra Principal de ECU</t>
        </is>
      </c>
      <c r="E11" s="4" t="inlineStr">
        <is>
          <t>GND referencia</t>
        </is>
      </c>
      <c r="F11" s="4" t="inlineStr">
        <is>
          <t>0V</t>
        </is>
      </c>
      <c r="G11" s="4" t="inlineStr">
        <is>
          <t>Masa de referencia para todos los sensores; debe estar &lt;0.1V respecto a batería</t>
        </is>
      </c>
    </row>
    <row r="12" ht="40" customHeight="1">
      <c r="A12" s="3" t="inlineStr">
        <is>
          <t>B1 (Aristo/Supra)</t>
        </is>
      </c>
      <c r="B12" s="16" t="inlineStr">
        <is>
          <t>+B</t>
        </is>
      </c>
      <c r="C12" s="14" t="inlineStr">
        <is>
          <t>VBatt</t>
        </is>
      </c>
      <c r="D12" s="3" t="inlineStr">
        <is>
          <t>Alimentación Constante (Relevador EFI)</t>
        </is>
      </c>
      <c r="E12" s="3" t="inlineStr">
        <is>
          <t>Entrada 12V</t>
        </is>
      </c>
      <c r="F12" s="3" t="inlineStr">
        <is>
          <t>12V constante</t>
        </is>
      </c>
      <c r="G12" s="3" t="inlineStr">
        <is>
          <t>Alimenta la ECU; si se pierde = pérdida de memoria de adaptaciones y códigos</t>
        </is>
      </c>
    </row>
    <row r="13" ht="40" customHeight="1">
      <c r="A13" s="4" t="inlineStr">
        <is>
          <t>B1 (Aristo/Supra)</t>
        </is>
      </c>
      <c r="B13" s="17" t="inlineStr">
        <is>
          <t>BATT</t>
        </is>
      </c>
      <c r="C13" s="15" t="inlineStr">
        <is>
          <t>KL30</t>
        </is>
      </c>
      <c r="D13" s="4" t="inlineStr">
        <is>
          <t>Alimentación directa batería (memoria)</t>
        </is>
      </c>
      <c r="E13" s="4" t="inlineStr">
        <is>
          <t>Entrada 12V KL30</t>
        </is>
      </c>
      <c r="F13" s="4" t="inlineStr">
        <is>
          <t>12V siempre</t>
        </is>
      </c>
      <c r="G13" s="4" t="inlineStr">
        <is>
          <t>Mantiene la RAM de la ECU; desconectar = reset completo de adaptaciones</t>
        </is>
      </c>
    </row>
    <row r="14" ht="40" customHeight="1">
      <c r="A14" s="11" t="n"/>
      <c r="B14" s="11" t="n"/>
      <c r="C14" s="11" t="n"/>
      <c r="D14" s="11" t="n"/>
      <c r="E14" s="11" t="n"/>
      <c r="F14" s="11" t="n"/>
      <c r="G14" s="11" t="n"/>
    </row>
    <row r="15" ht="40" customHeight="1">
      <c r="A15" s="1" t="inlineStr">
        <is>
          <t>VW 1.9 TDI ALH — Bosch EDC15 (038906012) 121 Pines — Conexiones Mínimas para Swap</t>
        </is>
      </c>
    </row>
    <row r="16" ht="40" customHeight="1">
      <c r="A16" s="2" t="inlineStr">
        <is>
          <t>Pin ECU</t>
        </is>
      </c>
      <c r="B16" s="2" t="inlineStr">
        <is>
          <t>Señal / Función</t>
        </is>
      </c>
      <c r="C16" s="2" t="inlineStr">
        <is>
          <t>Color de Cable</t>
        </is>
      </c>
      <c r="D16" s="2" t="inlineStr">
        <is>
          <t>Conexión Requerida</t>
        </is>
      </c>
      <c r="E16" s="2" t="inlineStr">
        <is>
          <t>Sección Cable</t>
        </is>
      </c>
      <c r="F16" s="2" t="inlineStr">
        <is>
          <t>Nota de Instalación</t>
        </is>
      </c>
      <c r="G16" s="2" t="inlineStr">
        <is>
          <t>DTC si Falla</t>
        </is>
      </c>
    </row>
    <row r="17" ht="40" customHeight="1">
      <c r="A17" s="16" t="inlineStr">
        <is>
          <t>1 y 2</t>
        </is>
      </c>
      <c r="B17" s="3" t="inlineStr">
        <is>
          <t>Potencia Principal +12V</t>
        </is>
      </c>
      <c r="C17" s="3" t="inlineStr">
        <is>
          <t>Rojo / Negro</t>
        </is>
      </c>
      <c r="D17" s="3" t="inlineStr">
        <is>
          <t>Relevador principal 30A — KL30</t>
        </is>
      </c>
      <c r="E17" s="3" t="inlineStr">
        <is>
          <t>6 mm² mín.</t>
        </is>
      </c>
      <c r="F17" s="3" t="inlineStr">
        <is>
          <t>Fusible de 30A en positivo; never share with injector relay fuse</t>
        </is>
      </c>
      <c r="G17" s="30" t="inlineStr">
        <is>
          <t>ECU no arranca — sin comunicación</t>
        </is>
      </c>
    </row>
    <row r="18" ht="40" customHeight="1">
      <c r="A18" s="17" t="inlineStr">
        <is>
          <t>4 y 5</t>
        </is>
      </c>
      <c r="B18" s="4" t="inlineStr">
        <is>
          <t>Tierra de Potencia GND</t>
        </is>
      </c>
      <c r="C18" s="4" t="inlineStr">
        <is>
          <t>Marrón</t>
        </is>
      </c>
      <c r="D18" s="4" t="inlineStr">
        <is>
          <t>Tierra de chasis — punto dedicado sin pintura</t>
        </is>
      </c>
      <c r="E18" s="4" t="inlineStr">
        <is>
          <t>6 mm² mín.</t>
        </is>
      </c>
      <c r="F18" s="4" t="inlineStr">
        <is>
          <t>Punto de masa limpio; apriete 8 Nm; &lt;0.1V caída con motor en marcha</t>
        </is>
      </c>
      <c r="G18" s="31" t="inlineStr">
        <is>
          <t>Fallos de sensores, ralentí inestable</t>
        </is>
      </c>
    </row>
    <row r="19" ht="40" customHeight="1">
      <c r="A19" s="16" t="inlineStr">
        <is>
          <t>16</t>
        </is>
      </c>
      <c r="B19" s="3" t="inlineStr">
        <is>
          <t>Línea K de Diagnóstico</t>
        </is>
      </c>
      <c r="C19" s="3" t="inlineStr">
        <is>
          <t>Gris / Blanco</t>
        </is>
      </c>
      <c r="D19" s="3" t="inlineStr">
        <is>
          <t>OBD2 Pin 7 — K-Line</t>
        </is>
      </c>
      <c r="E19" s="3" t="inlineStr">
        <is>
          <t>0.5 mm²</t>
        </is>
      </c>
      <c r="F19" s="3" t="inlineStr">
        <is>
          <t>Resistencia de línea K máx 50Ω; no compartir con otras ECUs en el bus</t>
        </is>
      </c>
      <c r="G19" s="30" t="inlineStr">
        <is>
          <t>Sin comunicación con escáner</t>
        </is>
      </c>
    </row>
    <row r="20" ht="40" customHeight="1">
      <c r="A20" s="17" t="inlineStr">
        <is>
          <t>18</t>
        </is>
      </c>
      <c r="B20" s="4" t="inlineStr">
        <is>
          <t>Tierra de Activación Relevador</t>
        </is>
      </c>
      <c r="C20" s="4" t="inlineStr">
        <is>
          <t>Azul / Amarillo</t>
        </is>
      </c>
      <c r="D20" s="4" t="inlineStr">
        <is>
          <t>Activa el relevador principal EFI (habilita pin 1 y 2)</t>
        </is>
      </c>
      <c r="E20" s="4" t="inlineStr">
        <is>
          <t>0.5 mm²</t>
        </is>
      </c>
      <c r="F20" s="4" t="inlineStr">
        <is>
          <t>La ECU habilita su propia alimentación a través de este pin al recibir KL15</t>
        </is>
      </c>
      <c r="G20" s="31" t="inlineStr">
        <is>
          <t>Motor no arranca — ECU no activa</t>
        </is>
      </c>
    </row>
    <row r="21" ht="40" customHeight="1">
      <c r="A21" s="16" t="inlineStr">
        <is>
          <t>27</t>
        </is>
      </c>
      <c r="B21" s="3" t="inlineStr">
        <is>
          <t>Señal de RPM (Tach)</t>
        </is>
      </c>
      <c r="C21" s="3" t="inlineStr">
        <is>
          <t>Verde / Marrón</t>
        </is>
      </c>
      <c r="D21" s="3" t="inlineStr">
        <is>
          <t>Tablero de instrumentos — entrada tacómetro</t>
        </is>
      </c>
      <c r="E21" s="3" t="inlineStr">
        <is>
          <t>0.35 mm²</t>
        </is>
      </c>
      <c r="F21" s="3" t="inlineStr">
        <is>
          <t>Señal de 12V pulsada; frecuencia proporcional a RPM del motor</t>
        </is>
      </c>
      <c r="G21" s="30" t="inlineStr">
        <is>
          <t>Tacómetro en 0; no afecta funcionamiento</t>
        </is>
      </c>
    </row>
    <row r="22" ht="40" customHeight="1">
      <c r="A22" s="17" t="inlineStr">
        <is>
          <t>31</t>
        </is>
      </c>
      <c r="B22" s="4" t="inlineStr">
        <is>
          <t>Señal MAP / IAT (Boost)</t>
        </is>
      </c>
      <c r="C22" s="4" t="inlineStr">
        <is>
          <t>Púrpura / Rojo</t>
        </is>
      </c>
      <c r="D22" s="4" t="inlineStr">
        <is>
          <t>Sensor de presión de múltiple y temperatura IAT</t>
        </is>
      </c>
      <c r="E22" s="4" t="inlineStr">
        <is>
          <t>0.35 mm²</t>
        </is>
      </c>
      <c r="F22" s="4" t="inlineStr">
        <is>
          <t>Sensor combinado MAP+IAT en ALH; 3 cables: 5V ref, señal, GND</t>
        </is>
      </c>
      <c r="G22" s="31" t="inlineStr">
        <is>
          <t>P0105 MAP — modo emergencia potencia reducida</t>
        </is>
      </c>
    </row>
    <row r="23" ht="40" customHeight="1">
      <c r="A23" s="16" t="inlineStr">
        <is>
          <t>33</t>
        </is>
      </c>
      <c r="B23" s="3" t="inlineStr">
        <is>
          <t>Control Relevador Bujías Incandescentes</t>
        </is>
      </c>
      <c r="C23" s="3" t="inlineStr">
        <is>
          <t>Verde / Negro</t>
        </is>
      </c>
      <c r="D23" s="3" t="inlineStr">
        <is>
          <t>Sistema de precalentamiento diésel — relé de calentadores</t>
        </is>
      </c>
      <c r="E23" s="3" t="inlineStr">
        <is>
          <t>0.5 mm²</t>
        </is>
      </c>
      <c r="F23" s="3" t="inlineStr">
        <is>
          <t>El relevador de bujías activa el ciclo de precalentamiento; no cortar</t>
        </is>
      </c>
      <c r="G23" s="30" t="inlineStr">
        <is>
          <t>Sin precalentamiento — arranque difícil en frío</t>
        </is>
      </c>
    </row>
    <row r="24" ht="40" customHeight="1">
      <c r="A24" s="17" t="inlineStr">
        <is>
          <t>37</t>
        </is>
      </c>
      <c r="B24" s="4" t="inlineStr">
        <is>
          <t>Ignición KL15 (Switched +12V)</t>
        </is>
      </c>
      <c r="C24" s="4" t="inlineStr">
        <is>
          <t>Negro / Púrpura</t>
        </is>
      </c>
      <c r="D24" s="4" t="inlineStr">
        <is>
          <t>Interruptor de llave — posición ON</t>
        </is>
      </c>
      <c r="E24" s="4" t="inlineStr">
        <is>
          <t>1.0 mm²</t>
        </is>
      </c>
      <c r="F24" s="4" t="inlineStr">
        <is>
          <t>Activa la ECU; sin KL15 la ECU no despierta aunque tenga KL30</t>
        </is>
      </c>
      <c r="G24" s="31" t="inlineStr">
        <is>
          <t>ECU dormida — sin comunicación, sin arranque</t>
        </is>
      </c>
    </row>
    <row r="25" ht="40" customHeight="1">
      <c r="A25" s="16" t="inlineStr">
        <is>
          <t>40</t>
        </is>
      </c>
      <c r="B25" s="3" t="inlineStr">
        <is>
          <t>Luz de Precalentamiento</t>
        </is>
      </c>
      <c r="C25" s="3" t="inlineStr">
        <is>
          <t>Azul / Verde</t>
        </is>
      </c>
      <c r="D25" s="3" t="inlineStr">
        <is>
          <t>Indicador en tablero — testigo de bujías</t>
        </is>
      </c>
      <c r="E25" s="3" t="inlineStr">
        <is>
          <t>0.35 mm²</t>
        </is>
      </c>
      <c r="F25" s="3" t="inlineStr">
        <is>
          <t>LED o luz en tablero; la ECU la controla según temperatura del motor</t>
        </is>
      </c>
      <c r="G25" s="30" t="inlineStr">
        <is>
          <t>Sin indicación visual al conductor</t>
        </is>
      </c>
    </row>
    <row r="26" ht="40" customHeight="1">
      <c r="A26" s="17" t="inlineStr">
        <is>
          <t>62</t>
        </is>
      </c>
      <c r="B26" s="4" t="inlineStr">
        <is>
          <t>Válvula N75 — Regulación Turbo</t>
        </is>
      </c>
      <c r="C26" s="4" t="inlineStr">
        <is>
          <t>Blanco / Amarillo</t>
        </is>
      </c>
      <c r="D26" s="4" t="inlineStr">
        <is>
          <t>Control de geometría variable o wastegate</t>
        </is>
      </c>
      <c r="E26" s="4" t="inlineStr">
        <is>
          <t>0.35 mm²</t>
        </is>
      </c>
      <c r="F26" s="4" t="inlineStr">
        <is>
          <t>PWM de la ECU a N75; duty cycle controla boost; medir con osciloscopio</t>
        </is>
      </c>
      <c r="G26" s="31" t="inlineStr">
        <is>
          <t>P0299 — presión turbo insuficiente o P0234 — sobreboost</t>
        </is>
      </c>
    </row>
    <row r="27" ht="40" customHeight="1">
      <c r="A27" s="16" t="inlineStr">
        <is>
          <t>Todos GND</t>
        </is>
      </c>
      <c r="B27" s="3" t="inlineStr">
        <is>
          <t>Tierra de Señales Sensores</t>
        </is>
      </c>
      <c r="C27" s="3" t="inlineStr">
        <is>
          <t>Marrón</t>
        </is>
      </c>
      <c r="D27" s="3" t="inlineStr">
        <is>
          <t>Tierra de la ECU — no confundir con tierra de potencia</t>
        </is>
      </c>
      <c r="E27" s="3" t="inlineStr">
        <is>
          <t>0.35 mm²</t>
        </is>
      </c>
      <c r="F27" s="3" t="inlineStr">
        <is>
          <t>Tierra limpia independiente para sensores analógicos; ruido EMI en tierra = lecturas erróneas</t>
        </is>
      </c>
      <c r="G27" s="30" t="inlineStr">
        <is>
          <t>Múltiples DTCs de sensores sin componentes dañados</t>
        </is>
      </c>
    </row>
    <row r="28" ht="40" customHeight="1">
      <c r="A28" s="11" t="n"/>
      <c r="B28" s="11" t="n"/>
      <c r="C28" s="11" t="n"/>
      <c r="D28" s="11" t="n"/>
      <c r="E28" s="11" t="n"/>
      <c r="F28" s="11" t="n"/>
      <c r="G28" s="11" t="n"/>
    </row>
    <row r="29" ht="40" customHeight="1">
      <c r="A29" s="1" t="inlineStr">
        <is>
          <t>PUERTO OBD2 DLC 16 PINES — Pinout Estándar ISO 15765 / SAE J1962</t>
        </is>
      </c>
    </row>
    <row r="30" ht="40" customHeight="1">
      <c r="A30" s="2" t="inlineStr">
        <is>
          <t>Pin</t>
        </is>
      </c>
      <c r="B30" s="2" t="inlineStr">
        <is>
          <t>Función</t>
        </is>
      </c>
      <c r="C30" s="2" t="inlineStr">
        <is>
          <t>Protocolo / Norma</t>
        </is>
      </c>
      <c r="D30" s="2" t="inlineStr">
        <is>
          <t>Voltaje / Señal</t>
        </is>
      </c>
      <c r="E30" s="2" t="inlineStr">
        <is>
          <t>Aplicación</t>
        </is>
      </c>
      <c r="F30" s="2" t="inlineStr">
        <is>
          <t>Nota Técnica</t>
        </is>
      </c>
      <c r="G30" s="2" t="inlineStr">
        <is>
          <t>Diagnóstico</t>
        </is>
      </c>
    </row>
    <row r="31" ht="40" customHeight="1">
      <c r="A31" s="16" t="inlineStr">
        <is>
          <t>4</t>
        </is>
      </c>
      <c r="B31" s="3" t="inlineStr">
        <is>
          <t>Tierra de Chasis</t>
        </is>
      </c>
      <c r="C31" s="3" t="inlineStr">
        <is>
          <t>SAE J1962</t>
        </is>
      </c>
      <c r="D31" s="3" t="inlineStr">
        <is>
          <t>0V / GND</t>
        </is>
      </c>
      <c r="E31" s="3" t="inlineStr">
        <is>
          <t>Universal — todos los vehículos OBD2</t>
        </is>
      </c>
      <c r="F31" s="3" t="inlineStr">
        <is>
          <t>Masa de chasis para el escáner; verificar continuidad con borne (–) batería</t>
        </is>
      </c>
      <c r="G31" s="3" t="inlineStr">
        <is>
          <t>Sin tierra = escáner no enciende o lee datos erróneos</t>
        </is>
      </c>
    </row>
    <row r="32" ht="40" customHeight="1">
      <c r="A32" s="17" t="inlineStr">
        <is>
          <t>5</t>
        </is>
      </c>
      <c r="B32" s="4" t="inlineStr">
        <is>
          <t>Tierra de Señal</t>
        </is>
      </c>
      <c r="C32" s="4" t="inlineStr">
        <is>
          <t>SAE J1962</t>
        </is>
      </c>
      <c r="D32" s="4" t="inlineStr">
        <is>
          <t>0V / GND</t>
        </is>
      </c>
      <c r="E32" s="4" t="inlineStr">
        <is>
          <t>Universal — referencia electrónica</t>
        </is>
      </c>
      <c r="F32" s="4" t="inlineStr">
        <is>
          <t>Punto de referencia para datos; separado de la masa de chasis en algunos fabricantes</t>
        </is>
      </c>
      <c r="G32" s="4" t="inlineStr">
        <is>
          <t>Ruido en datos = tierra de señal con alta impedancia</t>
        </is>
      </c>
    </row>
    <row r="33" ht="40" customHeight="1">
      <c r="A33" s="16" t="inlineStr">
        <is>
          <t>6</t>
        </is>
      </c>
      <c r="B33" s="3" t="inlineStr">
        <is>
          <t>CAN High</t>
        </is>
      </c>
      <c r="C33" s="3" t="inlineStr">
        <is>
          <t>ISO 15765-4</t>
        </is>
      </c>
      <c r="D33" s="3" t="inlineStr">
        <is>
          <t>2.5–3.5V oscilante</t>
        </is>
      </c>
      <c r="E33" s="3" t="inlineStr">
        <is>
          <t>Todos los OBD2 post-2008; motor, transmisión, ABS</t>
        </is>
      </c>
      <c r="F33" s="3" t="inlineStr">
        <is>
          <t>Línea CAN-H del bus de diagnóstico; medir con osciloscopio diferencial</t>
        </is>
      </c>
      <c r="G33" s="3" t="inlineStr">
        <is>
          <t>Fija en 5V = cortocircuito; sin señal = ECU offline o bus roto</t>
        </is>
      </c>
    </row>
    <row r="34" ht="40" customHeight="1">
      <c r="A34" s="17" t="inlineStr">
        <is>
          <t>7</t>
        </is>
      </c>
      <c r="B34" s="4" t="inlineStr">
        <is>
          <t>K-Line (ISO 9141-2)</t>
        </is>
      </c>
      <c r="C34" s="4" t="inlineStr">
        <is>
          <t>ISO 9141-2 / KWP2000</t>
        </is>
      </c>
      <c r="D34" s="4" t="inlineStr">
        <is>
          <t>12V reposo / pulsos a 10.4 kbps</t>
        </is>
      </c>
      <c r="E34" s="4" t="inlineStr">
        <is>
          <t>Vehículos pre-2008; VAG con KWP2000; Chrysler</t>
        </is>
      </c>
      <c r="F34" s="4" t="inlineStr">
        <is>
          <t>Línea de diagnóstico legacy; aún usada en VW EDC15, BMW E46</t>
        </is>
      </c>
      <c r="G34" s="4" t="inlineStr">
        <is>
          <t>Sin K-Line = escáner antiguo no puede comunicar; usar escáner CAN+K</t>
        </is>
      </c>
    </row>
    <row r="35" ht="40" customHeight="1">
      <c r="A35" s="16" t="inlineStr">
        <is>
          <t>10</t>
        </is>
      </c>
      <c r="B35" s="3" t="inlineStr">
        <is>
          <t>J1850 Bus+</t>
        </is>
      </c>
      <c r="C35" s="3" t="inlineStr">
        <is>
          <t>SAE J1850</t>
        </is>
      </c>
      <c r="D35" s="3" t="inlineStr">
        <is>
          <t>7V bus+</t>
        </is>
      </c>
      <c r="E35" s="3" t="inlineStr">
        <is>
          <t>GM OBD2 antes de 2008 (VPWM)</t>
        </is>
      </c>
      <c r="F35" s="3" t="inlineStr">
        <is>
          <t>Protocolo GM propio — Variable Pulse Width Modulation; velocidad 10.4 kbps</t>
        </is>
      </c>
      <c r="G35" s="3" t="inlineStr">
        <is>
          <t>Solo en GM hasta ~2007; escáner debe soportar J1850 VPWM</t>
        </is>
      </c>
    </row>
    <row r="36" ht="40" customHeight="1">
      <c r="A36" s="17" t="inlineStr">
        <is>
          <t>14</t>
        </is>
      </c>
      <c r="B36" s="4" t="inlineStr">
        <is>
          <t>CAN Low</t>
        </is>
      </c>
      <c r="C36" s="4" t="inlineStr">
        <is>
          <t>ISO 15765-4</t>
        </is>
      </c>
      <c r="D36" s="4" t="inlineStr">
        <is>
          <t>1.5–2.5V oscilante</t>
        </is>
      </c>
      <c r="E36" s="4" t="inlineStr">
        <is>
          <t>Todos los OBD2 post-2008</t>
        </is>
      </c>
      <c r="F36" s="4" t="inlineStr">
        <is>
          <t>Línea CAN-L; par diferencial con pin 6; imagen espejo perfecta</t>
        </is>
      </c>
      <c r="G36" s="4" t="inlineStr">
        <is>
          <t>Fija en 0V = cortocircuito a masa; diferencial CAN-H minus CAN-L debe ser 2V</t>
        </is>
      </c>
    </row>
    <row r="37" ht="40" customHeight="1">
      <c r="A37" s="16" t="inlineStr">
        <is>
          <t>15</t>
        </is>
      </c>
      <c r="B37" s="3" t="inlineStr">
        <is>
          <t>L-Line (ISO 9141-2)</t>
        </is>
      </c>
      <c r="C37" s="3" t="inlineStr">
        <is>
          <t>ISO 9141-2</t>
        </is>
      </c>
      <c r="D37" s="3" t="inlineStr">
        <is>
          <t>12V reposo</t>
        </is>
      </c>
      <c r="E37" s="3" t="inlineStr">
        <is>
          <t>Vehículos con protocolo ISO 9141</t>
        </is>
      </c>
      <c r="F37" s="3" t="inlineStr">
        <is>
          <t>Línea de 'despertar' para el bus K-Line; no usada en CAN</t>
        </is>
      </c>
      <c r="G37" s="3" t="inlineStr">
        <is>
          <t>Sin L-Line en algunos escáneres = sin comunicación con vehículos ISO 9141 antiguos</t>
        </is>
      </c>
    </row>
    <row r="38" ht="40" customHeight="1">
      <c r="A38" s="17" t="inlineStr">
        <is>
          <t>16</t>
        </is>
      </c>
      <c r="B38" s="4" t="inlineStr">
        <is>
          <t>Alimentación +12V</t>
        </is>
      </c>
      <c r="C38" s="4" t="inlineStr">
        <is>
          <t>SAE J1962</t>
        </is>
      </c>
      <c r="D38" s="4" t="inlineStr">
        <is>
          <t>12V–14.5V DC KL30</t>
        </is>
      </c>
      <c r="E38" s="4" t="inlineStr">
        <is>
          <t>Universal — energiza el escáner</t>
        </is>
      </c>
      <c r="F38" s="4" t="inlineStr">
        <is>
          <t>Siempre vivo directo de batería; no requiere llave; protegido por fusible OBD del vehículo</t>
        </is>
      </c>
      <c r="G38" s="4" t="inlineStr">
        <is>
          <t>Si el escáner no enciende con llave: verificar fusible OBD2 en caja del motor</t>
        </is>
      </c>
    </row>
    <row r="39" ht="40" customHeight="1">
      <c r="A39" s="11" t="n"/>
      <c r="B39" s="11" t="n"/>
      <c r="C39" s="11" t="n"/>
      <c r="D39" s="11" t="n"/>
      <c r="E39" s="11" t="n"/>
      <c r="F39" s="11" t="n"/>
      <c r="G39" s="11" t="n"/>
    </row>
    <row r="40" ht="40" customHeight="1"/>
    <row r="41" ht="40" customHeight="1"/>
    <row r="42" ht="40" customHeight="1"/>
    <row r="43" ht="40" customHeight="1"/>
    <row r="44" ht="40" customHeight="1"/>
    <row r="45" ht="40" customHeight="1"/>
    <row r="46" ht="40" customHeight="1"/>
    <row r="47" ht="40" customHeight="1"/>
    <row r="48" ht="40" customHeight="1"/>
    <row r="49" ht="40" customHeight="1"/>
    <row r="50" ht="40" customHeight="1"/>
    <row r="51" ht="40" customHeight="1"/>
    <row r="52" ht="40" customHeight="1"/>
    <row r="53" ht="40" customHeight="1"/>
    <row r="54" ht="40" customHeight="1"/>
    <row r="55" ht="40" customHeight="1"/>
    <row r="56" ht="40" customHeight="1"/>
    <row r="57" ht="40" customHeight="1"/>
    <row r="58" ht="40" customHeight="1"/>
    <row r="59" ht="40" customHeight="1"/>
    <row r="60" ht="40" customHeight="1"/>
    <row r="61" ht="40" customHeight="1"/>
    <row r="62" ht="40" customHeight="1"/>
    <row r="63" ht="40" customHeight="1"/>
    <row r="64" ht="40" customHeight="1"/>
    <row r="65" ht="40" customHeight="1"/>
    <row r="66" ht="40" customHeight="1"/>
    <row r="67" ht="40" customHeight="1"/>
    <row r="68" ht="40" customHeight="1"/>
    <row r="69" ht="40" customHeight="1"/>
    <row r="70" ht="40" customHeight="1"/>
    <row r="71" ht="40" customHeight="1"/>
    <row r="72" ht="40" customHeight="1"/>
    <row r="73" ht="40" customHeight="1"/>
    <row r="74" ht="40" customHeight="1"/>
    <row r="75" ht="40" customHeight="1"/>
    <row r="76" ht="40" customHeight="1"/>
    <row r="77" ht="40" customHeight="1"/>
    <row r="78" ht="40" customHeight="1"/>
    <row r="79" ht="40" customHeight="1"/>
    <row r="80" ht="40" customHeight="1"/>
    <row r="81" ht="40" customHeight="1"/>
    <row r="82" ht="40" customHeight="1"/>
    <row r="83" ht="40" customHeight="1"/>
    <row r="84" ht="40" customHeight="1"/>
    <row r="85" ht="40" customHeight="1"/>
    <row r="86" ht="40" customHeight="1"/>
    <row r="87" ht="40" customHeight="1"/>
    <row r="88" ht="40" customHeight="1"/>
    <row r="89" ht="40" customHeight="1"/>
    <row r="90" ht="40" customHeight="1"/>
    <row r="91" ht="40" customHeight="1"/>
    <row r="92" ht="40" customHeight="1"/>
    <row r="93" ht="40" customHeight="1"/>
    <row r="94" ht="40" customHeight="1"/>
    <row r="95" ht="40" customHeight="1"/>
    <row r="96" ht="40" customHeight="1"/>
    <row r="97" ht="40" customHeight="1"/>
    <row r="98" ht="40" customHeight="1"/>
    <row r="99" ht="40" customHeight="1"/>
  </sheetData>
  <mergeCells count="4">
    <mergeCell ref="A2:G2"/>
    <mergeCell ref="A1:G1"/>
    <mergeCell ref="A29:G29"/>
    <mergeCell ref="A15:G15"/>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26" customWidth="1" min="1" max="1"/>
    <col width="22" customWidth="1" min="2" max="2"/>
    <col width="30" customWidth="1" min="3" max="3"/>
    <col width="22" customWidth="1" min="4" max="4"/>
    <col width="20" customWidth="1" min="5" max="5"/>
    <col width="40" customWidth="1" min="6" max="6"/>
    <col width="44" customWidth="1" min="7" max="7"/>
  </cols>
  <sheetData>
    <row r="1" ht="24" customHeight="1">
      <c r="A1" s="1" t="inlineStr">
        <is>
          <t>SISTEMAS DIÉSEL PESADOS — Cummins CM850 / ISB + Detroit Diesel DDEC III-IV</t>
        </is>
      </c>
    </row>
    <row r="2" ht="20" customHeight="1">
      <c r="A2" s="1" t="inlineStr">
        <is>
          <t>CUMMINS ISB — Módulo CM850 (ECM Modular)</t>
        </is>
      </c>
    </row>
    <row r="3" ht="44" customHeight="1">
      <c r="A3" s="2" t="inlineStr">
        <is>
          <t>Conector / Pin</t>
        </is>
      </c>
      <c r="B3" s="2" t="inlineStr">
        <is>
          <t>Función</t>
        </is>
      </c>
      <c r="C3" s="2" t="inlineStr">
        <is>
          <t>Protocolo</t>
        </is>
      </c>
      <c r="D3" s="2" t="inlineStr">
        <is>
          <t>Voltaje / Señal</t>
        </is>
      </c>
      <c r="E3" s="2" t="inlineStr">
        <is>
          <t>Nota Técnica</t>
        </is>
      </c>
      <c r="F3" s="2" t="inlineStr">
        <is>
          <t>DTC/Falla Común</t>
        </is>
      </c>
      <c r="G3" s="2" t="inlineStr">
        <is>
          <t>Herramienta Servicio</t>
        </is>
      </c>
    </row>
    <row r="4" ht="44" customHeight="1">
      <c r="A4" s="9" t="inlineStr">
        <is>
          <t>Conector OEM Pin 46</t>
        </is>
      </c>
      <c r="B4" s="3" t="inlineStr">
        <is>
          <t>CAN High — J1939</t>
        </is>
      </c>
      <c r="C4" s="3" t="inlineStr">
        <is>
          <t>SAE J1939 (250 kbps)</t>
        </is>
      </c>
      <c r="D4" s="3" t="inlineStr">
        <is>
          <t>2.5–3.5V oscilante</t>
        </is>
      </c>
      <c r="E4" s="3" t="inlineStr">
        <is>
          <t>Bus J1939 para comunicación con VCM, tablero, transmisión Allison</t>
        </is>
      </c>
      <c r="F4" s="30" t="inlineStr">
        <is>
          <t>Sin señal CAN = códigos de red SA; verificar terminación 60Ω entre pines 46-47</t>
        </is>
      </c>
      <c r="G4" s="3" t="inlineStr">
        <is>
          <t>Cummins INSITE / Calterm — interfaz J1939</t>
        </is>
      </c>
    </row>
    <row r="5" ht="44" customHeight="1">
      <c r="A5" s="10" t="inlineStr">
        <is>
          <t>Conector OEM Pin 47</t>
        </is>
      </c>
      <c r="B5" s="4" t="inlineStr">
        <is>
          <t>CAN Low — J1939</t>
        </is>
      </c>
      <c r="C5" s="4" t="inlineStr">
        <is>
          <t>SAE J1939 (250 kbps)</t>
        </is>
      </c>
      <c r="D5" s="4" t="inlineStr">
        <is>
          <t>1.5–2.5V oscilante</t>
        </is>
      </c>
      <c r="E5" s="4" t="inlineStr">
        <is>
          <t>Par diferencial con pin 46; imagen espejo perfecta</t>
        </is>
      </c>
      <c r="F5" s="31" t="inlineStr">
        <is>
          <t>Cortocircuito a masa = bus J1939 caído; todos los módulos pierden comunicación</t>
        </is>
      </c>
      <c r="G5" s="4" t="inlineStr">
        <is>
          <t>Multímetro + osciloscopio 2 canales</t>
        </is>
      </c>
    </row>
    <row r="6" ht="44" customHeight="1">
      <c r="A6" s="9" t="inlineStr">
        <is>
          <t>Conector Motor (60 pines)</t>
        </is>
      </c>
      <c r="B6" s="3" t="inlineStr">
        <is>
          <t>Control de Inyectores y Sensores de Bloque</t>
        </is>
      </c>
      <c r="C6" s="3" t="inlineStr">
        <is>
          <t>Propietario Cummins</t>
        </is>
      </c>
      <c r="D6" s="3" t="inlineStr">
        <is>
          <t>Señales mixtas 5V/12V</t>
        </is>
      </c>
      <c r="E6" s="3" t="inlineStr">
        <is>
          <t>Conector separado del OEM; 60 pines para inyectores solenoides y sensores internos del bloque</t>
        </is>
      </c>
      <c r="F6" s="30" t="inlineStr">
        <is>
          <t>Resistencia de inyector: 0.5–2Ω; circuito abierto = DTC de inyector</t>
        </is>
      </c>
      <c r="G6" s="3" t="inlineStr">
        <is>
          <t>Cummins INSITE para prueba de cilindros individuales</t>
        </is>
      </c>
    </row>
    <row r="7" ht="44" customHeight="1">
      <c r="A7" s="10" t="inlineStr">
        <is>
          <t>Pin Alimentación 4</t>
        </is>
      </c>
      <c r="B7" s="4" t="inlineStr">
        <is>
          <t>+12V DC Batería</t>
        </is>
      </c>
      <c r="C7" s="4" t="inlineStr">
        <is>
          <t>—</t>
        </is>
      </c>
      <c r="D7" s="4" t="inlineStr">
        <is>
          <t>12V–14.5V</t>
        </is>
      </c>
      <c r="E7" s="4" t="inlineStr">
        <is>
          <t>Entrada directa de batería al CM850; protegido por fusible principal 30A</t>
        </is>
      </c>
      <c r="F7" s="31" t="inlineStr">
        <is>
          <t>Sin +12V = ECM sin alimentación; motor no arranca</t>
        </is>
      </c>
      <c r="G7" s="4" t="inlineStr">
        <is>
          <t>Multímetro en pin 4 con tierra de referencia</t>
        </is>
      </c>
    </row>
    <row r="8" ht="44" customHeight="1">
      <c r="A8" s="9" t="inlineStr">
        <is>
          <t>Pin Alimentación 2</t>
        </is>
      </c>
      <c r="B8" s="3" t="inlineStr">
        <is>
          <t>Negativo / GND</t>
        </is>
      </c>
      <c r="C8" s="3" t="inlineStr">
        <is>
          <t>—</t>
        </is>
      </c>
      <c r="D8" s="3" t="inlineStr">
        <is>
          <t>0V</t>
        </is>
      </c>
      <c r="E8" s="3" t="inlineStr">
        <is>
          <t>Tierra de batería al ECM; punto de masa del bloque motor</t>
        </is>
      </c>
      <c r="F8" s="30" t="inlineStr">
        <is>
          <t>Masa deficiente = múltiples DTCs de voltaje y sensores</t>
        </is>
      </c>
      <c r="G8" s="3" t="inlineStr">
        <is>
          <t>Caída de voltaje máx 0.1V entre pin 2 y batería</t>
        </is>
      </c>
    </row>
    <row r="9" ht="44" customHeight="1">
      <c r="A9" s="10" t="inlineStr">
        <is>
          <t>Pin Boot 1</t>
        </is>
      </c>
      <c r="B9" s="4" t="inlineStr">
        <is>
          <t>Boot Switch — Modo Reprogramación</t>
        </is>
      </c>
      <c r="C9" s="4" t="inlineStr">
        <is>
          <t>Propietario Cummins</t>
        </is>
      </c>
      <c r="D9" s="4" t="inlineStr">
        <is>
          <t>GND momentáneo al energizar</t>
        </is>
      </c>
      <c r="E9" s="4" t="inlineStr">
        <is>
          <t>Puente en pin 1 al dar energía = Boot Mode para recuperar ECM con checksum dañado</t>
        </is>
      </c>
      <c r="F9" s="31" t="inlineStr">
        <is>
          <t>Usar solo con software Calterm o INSITE de Cummins; sin puente = modo normal</t>
        </is>
      </c>
      <c r="G9" s="4" t="inlineStr">
        <is>
          <t>Cummins Calterm III / INSITE 8.x</t>
        </is>
      </c>
    </row>
    <row r="10" ht="44" customHeight="1">
      <c r="A10" s="9" t="inlineStr">
        <is>
          <t>Conector OEM Pin 1</t>
        </is>
      </c>
      <c r="B10" s="3" t="inlineStr">
        <is>
          <t>Alimentación Sensor 5V (Ref)</t>
        </is>
      </c>
      <c r="C10" s="3" t="inlineStr">
        <is>
          <t>—</t>
        </is>
      </c>
      <c r="D10" s="3" t="inlineStr">
        <is>
          <t>5.00V ±0.1V</t>
        </is>
      </c>
      <c r="E10" s="3" t="inlineStr">
        <is>
          <t>Referencia para sensores de presión MAP, temp, etc.; precisión crítica</t>
        </is>
      </c>
      <c r="F10" s="30" t="inlineStr">
        <is>
          <t>Voltaje fuera de rango: todos los sensores analógicos leen mal</t>
        </is>
      </c>
      <c r="G10" s="3" t="inlineStr">
        <is>
          <t>Multímetro de precisión 4½ dígitos</t>
        </is>
      </c>
    </row>
    <row r="11" ht="44" customHeight="1">
      <c r="A11" s="10" t="inlineStr">
        <is>
          <t>Conector Datos</t>
        </is>
      </c>
      <c r="B11" s="4" t="inlineStr">
        <is>
          <t>Puerto RS-232 / CAN Diagnóstico</t>
        </is>
      </c>
      <c r="C11" s="4" t="inlineStr">
        <is>
          <t>ISO 9141 + J1939</t>
        </is>
      </c>
      <c r="D11" s="4" t="inlineStr">
        <is>
          <t>Serial 19200 bps / CAN</t>
        </is>
      </c>
      <c r="E11" s="4" t="inlineStr">
        <is>
          <t>Conexión directa al laptop con software INSITE para diagnóstico profundo</t>
        </is>
      </c>
      <c r="F11" s="31" t="inlineStr">
        <is>
          <t>Puerto dañado = sin diagnóstico de calibración; verificar conector 12124630 Deutsch</t>
        </is>
      </c>
      <c r="G11" s="4" t="inlineStr">
        <is>
          <t>INSITE + cable serial Cummins 3165028</t>
        </is>
      </c>
    </row>
    <row r="12" ht="44" customHeight="1">
      <c r="A12" s="11" t="n"/>
      <c r="B12" s="11" t="n"/>
      <c r="C12" s="11" t="n"/>
      <c r="D12" s="11" t="n"/>
      <c r="E12" s="11" t="n"/>
      <c r="F12" s="11" t="n"/>
      <c r="G12" s="11" t="n"/>
    </row>
    <row r="13" ht="44" customHeight="1">
      <c r="A13" s="1" t="inlineStr">
        <is>
          <t>DETROIT DIESEL DDEC III/IV — Serie 60 (12.7L / 14.0L) — Sistema de Control Electrónico</t>
        </is>
      </c>
    </row>
    <row r="14" ht="44" customHeight="1">
      <c r="A14" s="2" t="inlineStr">
        <is>
          <t>Componente</t>
        </is>
      </c>
      <c r="B14" s="2" t="inlineStr">
        <is>
          <t>Ref / Número Parte</t>
        </is>
      </c>
      <c r="C14" s="2" t="inlineStr">
        <is>
          <t>Función</t>
        </is>
      </c>
      <c r="D14" s="2" t="inlineStr">
        <is>
          <t>Protocolo</t>
        </is>
      </c>
      <c r="E14" s="2" t="inlineStr">
        <is>
          <t>Señal / Voltaje</t>
        </is>
      </c>
      <c r="F14" s="2" t="inlineStr">
        <is>
          <t>Procedimiento</t>
        </is>
      </c>
      <c r="G14" s="2" t="inlineStr">
        <is>
          <t>Nota Técnica</t>
        </is>
      </c>
    </row>
    <row r="15" ht="44" customHeight="1">
      <c r="A15" s="9" t="inlineStr">
        <is>
          <t>Conector Data Link 5 pines</t>
        </is>
      </c>
      <c r="B15" s="32" t="inlineStr">
        <is>
          <t>12124630 (Deutsch)</t>
        </is>
      </c>
      <c r="C15" s="3" t="inlineStr">
        <is>
          <t>Enlace de datos entre ECM y herramienta de diagnóstico</t>
        </is>
      </c>
      <c r="D15" s="3" t="inlineStr">
        <is>
          <t>SAE J1587 (Detroit) / J1939 (DDEC IV)</t>
        </is>
      </c>
      <c r="E15" s="3" t="inlineStr">
        <is>
          <t>5V diferencial / 250 kbps J1939</t>
        </is>
      </c>
      <c r="F15" s="3" t="inlineStr">
        <is>
          <t>Conectar escáner Detroit Master Diagnostics o equivalente al DLC 5 pines</t>
        </is>
      </c>
      <c r="G15" s="3" t="inlineStr">
        <is>
          <t>Conector crítico: alta resistencia de contacto = comunicación intermitente; limpiar con contact cleaner</t>
        </is>
      </c>
    </row>
    <row r="16" ht="44" customHeight="1">
      <c r="A16" s="10" t="inlineStr">
        <is>
          <t>ECM — Detroit DDEC III</t>
        </is>
      </c>
      <c r="B16" s="33" t="inlineStr">
        <is>
          <t>Serie 60 ECM V3</t>
        </is>
      </c>
      <c r="C16" s="4" t="inlineStr">
        <is>
          <t>Control de inyectores electrónicos HEUI y gestión de motor</t>
        </is>
      </c>
      <c r="D16" s="4" t="inlineStr">
        <is>
          <t>Propietario Detroit + J1587</t>
        </is>
      </c>
      <c r="E16" s="4" t="inlineStr">
        <is>
          <t>12V / señales mixtas</t>
        </is>
      </c>
      <c r="F16" s="4" t="inlineStr">
        <is>
          <t>Acceso con DDR (Diagnostic Data Reader) Detroit o Pro-Link MPSI</t>
        </is>
      </c>
      <c r="G16" s="4" t="inlineStr">
        <is>
          <t>DDEC III: identificación por etiqueta en cuerpo del ECM — 6 dígitos + sufijo de calibración</t>
        </is>
      </c>
    </row>
    <row r="17" ht="44" customHeight="1">
      <c r="A17" s="9" t="inlineStr">
        <is>
          <t>ECM — Detroit DDEC IV</t>
        </is>
      </c>
      <c r="B17" s="32" t="inlineStr">
        <is>
          <t>Serie 60 ECM V4</t>
        </is>
      </c>
      <c r="C17" s="3" t="inlineStr">
        <is>
          <t>Control avanzado; OBD-II compatible; memoria de eventos</t>
        </is>
      </c>
      <c r="D17" s="3" t="inlineStr">
        <is>
          <t>J1939 + OBD-II (ISO 15765)</t>
        </is>
      </c>
      <c r="E17" s="3" t="inlineStr">
        <is>
          <t>CAN 250 kbps + KL15</t>
        </is>
      </c>
      <c r="F17" s="3" t="inlineStr">
        <is>
          <t>Compatible con escáneres modernos J1939; acceso completo con Detroit Pro</t>
        </is>
      </c>
      <c r="G17" s="3" t="inlineStr">
        <is>
          <t>DDEC IV añade memoria de eventos de velocidad (black box limitada para flotas)</t>
        </is>
      </c>
    </row>
    <row r="18" ht="44" customHeight="1">
      <c r="A18" s="10" t="inlineStr">
        <is>
          <t>Sensor de Posición del Cigüeñal (CKP)</t>
        </is>
      </c>
      <c r="B18" s="33" t="inlineStr">
        <is>
          <t>Serie 60 — inductivo 2 cables</t>
        </is>
      </c>
      <c r="C18" s="4" t="inlineStr">
        <is>
          <t>RPM y posición cigüeñal para sincronía de inyectores HEUI</t>
        </is>
      </c>
      <c r="D18" s="4" t="inlineStr">
        <is>
          <t>Inductivo AC</t>
        </is>
      </c>
      <c r="E18" s="4" t="inlineStr">
        <is>
          <t>AC variable: 0.5V–50V según RPM</t>
        </is>
      </c>
      <c r="F18" s="4" t="inlineStr">
        <is>
          <t>Medir resistencia: 800–1200Ω; señal AC con osciloscopio al crankear</t>
        </is>
      </c>
      <c r="G18" s="4" t="inlineStr">
        <is>
          <t>Rueda fónica con 136 dientes + 1 ausente como referencia; señal de alta amplitud vs autos ligeros</t>
        </is>
      </c>
    </row>
    <row r="19" ht="44" customHeight="1">
      <c r="A19" s="9" t="inlineStr">
        <is>
          <t>Inyector HEUI — Hidráulico</t>
        </is>
      </c>
      <c r="B19" s="32" t="inlineStr">
        <is>
          <t>Caterpillar/Detroit HEUI</t>
        </is>
      </c>
      <c r="C19" s="3" t="inlineStr">
        <is>
          <t>Inyección por presión de aceite del motor amplificada hidráulicamente</t>
        </is>
      </c>
      <c r="D19" s="3" t="inlineStr">
        <is>
          <t>Pulso de alta corriente 12V</t>
        </is>
      </c>
      <c r="E19" s="3" t="inlineStr">
        <is>
          <t>Pico 40–80V al abrir; retención 12V</t>
        </is>
      </c>
      <c r="F19" s="3" t="inlineStr">
        <is>
          <t>Prueba de resistencia de bobina: 0.5–1.5Ω; osciloscopio para forma de onda de inyección</t>
        </is>
      </c>
      <c r="G19" s="3" t="inlineStr">
        <is>
          <t>Alta corriente de activación: el ECM usa transistores IGBT de alta potencia para disparar</t>
        </is>
      </c>
    </row>
    <row r="20" ht="44" customHeight="1">
      <c r="A20" s="10" t="inlineStr">
        <is>
          <t>Módulo de Control de Temperatura (TM)</t>
        </is>
      </c>
      <c r="B20" s="33" t="inlineStr">
        <is>
          <t>DDEC IV TM Module</t>
        </is>
      </c>
      <c r="C20" s="4" t="inlineStr">
        <is>
          <t>Protege el motor contra sobrrecalentamiento y baja presión de aceite</t>
        </is>
      </c>
      <c r="D20" s="4" t="inlineStr">
        <is>
          <t>J1587 interna</t>
        </is>
      </c>
      <c r="E20" s="4" t="inlineStr">
        <is>
          <t>Digital — interruptores de protección</t>
        </is>
      </c>
      <c r="F20" s="4" t="inlineStr">
        <is>
          <t>Al activarse: motor reduce potencia al 50% (derate); DTC activo en memoria</t>
        </is>
      </c>
      <c r="G20" s="4" t="inlineStr">
        <is>
          <t>Función de guardián del motor: detecta fallo antes de daño catastrófico</t>
        </is>
      </c>
    </row>
    <row r="21" ht="44" customHeight="1">
      <c r="A21" s="9" t="inlineStr">
        <is>
          <t>Puerto de Programación (EEPROM)</t>
        </is>
      </c>
      <c r="B21" s="32" t="inlineStr">
        <is>
          <t>Conector de servicio DDEC</t>
        </is>
      </c>
      <c r="C21" s="3" t="inlineStr">
        <is>
          <t>Actualización de calibración y parámetros del motor (derates, RPM máx, limitadores)</t>
        </is>
      </c>
      <c r="D21" s="3" t="inlineStr">
        <is>
          <t>RS-232 → J1939 adaptador</t>
        </is>
      </c>
      <c r="E21" s="3" t="inlineStr">
        <is>
          <t>9600 bps legacy</t>
        </is>
      </c>
      <c r="F21" s="3" t="inlineStr">
        <is>
          <t>Con DDR y PC: descargar datos de operación (histograma de RPM, horas de ralentí, excesos de velocidad)</t>
        </is>
      </c>
      <c r="G21" s="3" t="inlineStr">
        <is>
          <t>Datos de diagnóstico útiles para análisis de vida útil de flotas y seguro de camiones</t>
        </is>
      </c>
    </row>
    <row r="22" ht="44" customHeight="1">
      <c r="A22" s="11" t="n"/>
      <c r="B22" s="11" t="n"/>
      <c r="C22" s="11" t="n"/>
      <c r="D22" s="11" t="n"/>
      <c r="E22" s="11" t="n"/>
      <c r="F22" s="11" t="n"/>
      <c r="G22" s="11" t="n"/>
    </row>
    <row r="23" ht="44" customHeight="1"/>
    <row r="24" ht="44" customHeight="1"/>
    <row r="25" ht="44" customHeight="1"/>
    <row r="26" ht="44" customHeight="1"/>
    <row r="27" ht="44" customHeight="1"/>
    <row r="28" ht="44" customHeight="1"/>
    <row r="29" ht="44" customHeight="1"/>
    <row r="30" ht="44" customHeight="1"/>
    <row r="31" ht="44" customHeight="1"/>
    <row r="32" ht="44" customHeight="1"/>
    <row r="33" ht="44" customHeight="1"/>
    <row r="34" ht="44" customHeight="1"/>
    <row r="35" ht="44" customHeight="1"/>
    <row r="36" ht="44" customHeight="1"/>
    <row r="37" ht="44" customHeight="1"/>
    <row r="38" ht="44" customHeight="1"/>
    <row r="39" ht="44" customHeight="1"/>
    <row r="40" ht="44" customHeight="1"/>
    <row r="41" ht="44" customHeight="1"/>
    <row r="42" ht="44" customHeight="1"/>
    <row r="43" ht="44" customHeight="1"/>
    <row r="44" ht="44" customHeight="1"/>
    <row r="45" ht="44" customHeight="1"/>
    <row r="46" ht="44" customHeight="1"/>
    <row r="47" ht="44" customHeight="1"/>
    <row r="48" ht="44" customHeight="1"/>
    <row r="49" ht="44" customHeight="1"/>
    <row r="50" ht="44" customHeight="1"/>
    <row r="51" ht="44" customHeight="1"/>
    <row r="52" ht="44" customHeight="1"/>
    <row r="53" ht="44" customHeight="1"/>
    <row r="54" ht="44" customHeight="1"/>
    <row r="55" ht="44" customHeight="1"/>
    <row r="56" ht="44" customHeight="1"/>
    <row r="57" ht="44" customHeight="1"/>
    <row r="58" ht="44" customHeight="1"/>
    <row r="59" ht="44" customHeight="1"/>
    <row r="60" ht="44" customHeight="1"/>
    <row r="61" ht="44" customHeight="1"/>
    <row r="62" ht="44" customHeight="1"/>
    <row r="63" ht="44" customHeight="1"/>
    <row r="64" ht="44" customHeight="1"/>
    <row r="65" ht="44" customHeight="1"/>
    <row r="66" ht="44" customHeight="1"/>
    <row r="67" ht="44" customHeight="1"/>
    <row r="68" ht="44" customHeight="1"/>
    <row r="69" ht="44" customHeight="1"/>
    <row r="70" ht="44" customHeight="1"/>
    <row r="71" ht="44" customHeight="1"/>
    <row r="72" ht="44" customHeight="1"/>
    <row r="73" ht="44" customHeight="1"/>
    <row r="74" ht="44" customHeight="1"/>
    <row r="75" ht="44" customHeight="1"/>
    <row r="76" ht="44" customHeight="1"/>
    <row r="77" ht="44" customHeight="1"/>
    <row r="78" ht="44" customHeight="1"/>
    <row r="79" ht="44" customHeight="1"/>
    <row r="80" ht="44" customHeight="1"/>
    <row r="81" ht="44" customHeight="1"/>
    <row r="82" ht="44" customHeight="1"/>
    <row r="83" ht="44" customHeight="1"/>
    <row r="84" ht="44" customHeight="1"/>
    <row r="85" ht="44" customHeight="1"/>
    <row r="86" ht="44" customHeight="1"/>
    <row r="87" ht="44" customHeight="1"/>
    <row r="88" ht="44" customHeight="1"/>
    <row r="89" ht="44" customHeight="1"/>
    <row r="90" ht="44" customHeight="1"/>
    <row r="91" ht="44" customHeight="1"/>
    <row r="92" ht="44" customHeight="1"/>
    <row r="93" ht="44" customHeight="1"/>
    <row r="94" ht="44" customHeight="1"/>
    <row r="95" ht="44" customHeight="1"/>
    <row r="96" ht="44" customHeight="1"/>
    <row r="97" ht="44" customHeight="1"/>
    <row r="98" ht="44" customHeight="1"/>
    <row r="99" ht="44" customHeight="1"/>
  </sheetData>
  <mergeCells count="3">
    <mergeCell ref="A13:G13"/>
    <mergeCell ref="A2:G2"/>
    <mergeCell ref="A1:G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28" customWidth="1" min="1" max="1"/>
    <col width="18" customWidth="1" min="2" max="2"/>
    <col width="28" customWidth="1" min="3" max="3"/>
    <col width="40" customWidth="1" min="4" max="4"/>
    <col width="44" customWidth="1" min="5" max="5"/>
    <col width="28" customWidth="1" min="6" max="6"/>
  </cols>
  <sheetData>
    <row r="1" ht="24" customHeight="1">
      <c r="A1" s="1" t="inlineStr">
        <is>
          <t>BASES DE DATOS TÉCNICAS Y RECURSOS PARA EL PROFESIONAL AUTOMOTRIZ</t>
        </is>
      </c>
    </row>
    <row r="2" ht="30" customHeight="1">
      <c r="A2" s="2" t="inlineStr">
        <is>
          <t>Recurso / Plataforma</t>
        </is>
      </c>
      <c r="B2" s="2" t="inlineStr">
        <is>
          <t>Tipo</t>
        </is>
      </c>
      <c r="C2" s="2" t="inlineStr">
        <is>
          <t>URL / Acceso</t>
        </is>
      </c>
      <c r="D2" s="2" t="inlineStr">
        <is>
          <t>Descripción</t>
        </is>
      </c>
      <c r="E2" s="2" t="inlineStr">
        <is>
          <t>Beneficio Técnico</t>
        </is>
      </c>
      <c r="F2" s="2" t="inlineStr">
        <is>
          <t>Costo / Acceso</t>
        </is>
      </c>
    </row>
    <row r="3" ht="44" customHeight="1">
      <c r="A3" s="9" t="inlineStr">
        <is>
          <t>Auto-Data API</t>
        </is>
      </c>
      <c r="B3" s="3" t="inlineStr">
        <is>
          <t>Base de datos universal</t>
        </is>
      </c>
      <c r="C3" s="3" t="inlineStr">
        <is>
          <t>api.auto-data.net / auto-data.net</t>
        </is>
      </c>
      <c r="D3" s="3" t="inlineStr">
        <is>
          <t>Más de 55,000 especificaciones de vehículos: torque, HP, consumo, peso, dimensiones</t>
        </is>
      </c>
      <c r="E3" s="3" t="inlineStr">
        <is>
          <t>Datos OEM exactos de torque y potencia para diagnóstico de rendimiento y calibración</t>
        </is>
      </c>
      <c r="F3" s="30" t="inlineStr">
        <is>
          <t>Freemium — API de pago por consulta; web gratuita para consulta básica</t>
        </is>
      </c>
    </row>
    <row r="4" ht="44" customHeight="1">
      <c r="A4" s="10" t="inlineStr">
        <is>
          <t>PinoutAutomotriz</t>
        </is>
      </c>
      <c r="B4" s="4" t="inlineStr">
        <is>
          <t>Pinouts en español</t>
        </is>
      </c>
      <c r="C4" s="4" t="inlineStr">
        <is>
          <t>pinoutautomotriz.com</t>
        </is>
      </c>
      <c r="D4" s="4" t="inlineStr">
        <is>
          <t>Repositorio de diagramas de pines de ECUs en español; colores de cables y funciones</t>
        </is>
      </c>
      <c r="E4" s="4" t="inlineStr">
        <is>
          <t>Identificación rápida de pines sin necesidad de manual OEM; ideal para taller en México</t>
        </is>
      </c>
      <c r="F4" s="13" t="inlineStr">
        <is>
          <t>Gratuito — basado en comunidad</t>
        </is>
      </c>
    </row>
    <row r="5" ht="44" customHeight="1">
      <c r="A5" s="9" t="inlineStr">
        <is>
          <t>ECU Docs (ecudocs.com)</t>
        </is>
      </c>
      <c r="B5" s="3" t="inlineStr">
        <is>
          <t>Documentación ECU</t>
        </is>
      </c>
      <c r="C5" s="3" t="inlineStr">
        <is>
          <t>ecudocs.com</t>
        </is>
      </c>
      <c r="D5" s="3" t="inlineStr">
        <is>
          <t>Documentación completa de hardware de ECUs Bosch, Continental, Delphi; guías de solución de fallas</t>
        </is>
      </c>
      <c r="E5" s="3" t="inlineStr">
        <is>
          <t>Guías de reparación a nivel de componente (MOSFETs, capacitores, soldadura)</t>
        </is>
      </c>
      <c r="F5" s="12" t="inlineStr">
        <is>
          <t>Gratuito con registro — algunas guías de pago</t>
        </is>
      </c>
    </row>
    <row r="6" ht="44" customHeight="1">
      <c r="A6" s="10" t="inlineStr">
        <is>
          <t>Weboctopus ECU DB</t>
        </is>
      </c>
      <c r="B6" s="4" t="inlineStr">
        <is>
          <t>Base de datos ECU + IMMO</t>
        </is>
      </c>
      <c r="C6" s="4" t="inlineStr">
        <is>
          <t>weboctopus.nl/ecu-database.php</t>
        </is>
      </c>
      <c r="D6" s="4" t="inlineStr">
        <is>
          <t>Buscador de números de parte Bosch; calculadora de PIN para inmobilizador por número de ECU</t>
        </is>
      </c>
      <c r="E6" s="4" t="inlineStr">
        <is>
          <t>Encuentra ECUs compatibles para intercambio; calcula PIN IMMO sin abrir centralita</t>
        </is>
      </c>
      <c r="F6" s="31" t="inlineStr">
        <is>
          <t>De pago — suscripción mensual; herramienta profesional</t>
        </is>
      </c>
    </row>
    <row r="7" ht="44" customHeight="1">
      <c r="A7" s="9" t="inlineStr">
        <is>
          <t>erWin (VAG)</t>
        </is>
      </c>
      <c r="B7" s="3" t="inlineStr">
        <is>
          <t>OEM — VW Group</t>
        </is>
      </c>
      <c r="C7" s="3" t="inlineStr">
        <is>
          <t>erwin.volkswagen.de</t>
        </is>
      </c>
      <c r="D7" s="3" t="inlineStr">
        <is>
          <t>Portal oficial VW/Audi/SEAT/Skoda; diagramas DIN por VIN; ubicación 3D de componentes</t>
        </is>
      </c>
      <c r="E7" s="3" t="inlineStr">
        <is>
          <t>Exactitud OEM por VIN; diagramas con terminal DIN 72552; boletines técnicos</t>
        </is>
      </c>
      <c r="F7" s="30" t="inlineStr">
        <is>
          <t>De pago — licencia diaria/mensual; acceso para talleres</t>
        </is>
      </c>
    </row>
    <row r="8" ht="44" customHeight="1">
      <c r="A8" s="10" t="inlineStr">
        <is>
          <t>Mitchell 1 / ProDemand</t>
        </is>
      </c>
      <c r="B8" s="4" t="inlineStr">
        <is>
          <t>Aftermarket profesional</t>
        </is>
      </c>
      <c r="C8" s="4" t="inlineStr">
        <is>
          <t>mitchell1.com</t>
        </is>
      </c>
      <c r="D8" s="4" t="inlineStr">
        <is>
          <t>Diagramas SVG interactivos con zoom infinito; resaltado de circuitos; busca empalmes y masas</t>
        </is>
      </c>
      <c r="E8" s="4" t="inlineStr">
        <is>
          <t>Reduce tiempo de diagnóstico eléctrico; estandarizado entre marcas</t>
        </is>
      </c>
      <c r="F8" s="31" t="inlineStr">
        <is>
          <t>Suscripción mensual ~$150 USD; alternativa para talleres sin acceso OEM</t>
        </is>
      </c>
    </row>
    <row r="9" ht="44" customHeight="1">
      <c r="A9" s="9" t="inlineStr">
        <is>
          <t>ALLDATA Repair</t>
        </is>
      </c>
      <c r="B9" s="3" t="inlineStr">
        <is>
          <t>Aftermarket + OEM</t>
        </is>
      </c>
      <c r="C9" s="3" t="inlineStr">
        <is>
          <t>alldata.com</t>
        </is>
      </c>
      <c r="D9" s="3" t="inlineStr">
        <is>
          <t>Datos OEM + redibujados; extensa base de TSBs vinculados al diagrama; busca por síntoma</t>
        </is>
      </c>
      <c r="E9" s="3" t="inlineStr">
        <is>
          <t>TSBs vinculados al diagrama específico del problema; cobertura amplia de modelos</t>
        </is>
      </c>
      <c r="F9" s="30" t="inlineStr">
        <is>
          <t>Suscripción anual; plan por vehículo o ilimitado</t>
        </is>
      </c>
    </row>
    <row r="10" ht="44" customHeight="1">
      <c r="A10" s="10" t="inlineStr">
        <is>
          <t>Identifix</t>
        </is>
      </c>
      <c r="B10" s="4" t="inlineStr">
        <is>
          <t>Diagnóstico por comunidad</t>
        </is>
      </c>
      <c r="C10" s="4" t="inlineStr">
        <is>
          <t>identifix.com</t>
        </is>
      </c>
      <c r="D10" s="4" t="inlineStr">
        <is>
          <t>Fallos confirmados por técnicos reales; diagramas Bosch/OEM a color; base de conocimiento colaborativa</t>
        </is>
      </c>
      <c r="E10" s="4" t="inlineStr">
        <is>
          <t>Diagnóstico basado en patrones de falla reales — reduce tiempo de troubleshooting</t>
        </is>
      </c>
      <c r="F10" s="31" t="inlineStr">
        <is>
          <t>Suscripción mensual; incluida en algunos paquetes Mitchell 1</t>
        </is>
      </c>
    </row>
    <row r="11" ht="44" customHeight="1">
      <c r="A11" s="9" t="inlineStr">
        <is>
          <t>Cummins INSITE</t>
        </is>
      </c>
      <c r="B11" s="3" t="inlineStr">
        <is>
          <t>OEM Cummins</t>
        </is>
      </c>
      <c r="C11" s="3" t="inlineStr">
        <is>
          <t>cumminsengines.com</t>
        </is>
      </c>
      <c r="D11" s="3" t="inlineStr">
        <is>
          <t>Software oficial para diagnóstico, programación y calibración de motores Cummins ISB/ISX/ISL</t>
        </is>
      </c>
      <c r="E11" s="3" t="inlineStr">
        <is>
          <t>Único acceso a ECM Boot Mode para recuperación de ECU corrupta; histogramas de operación</t>
        </is>
      </c>
      <c r="F11" s="30" t="inlineStr">
        <is>
          <t>De pago — licencia anual Cummins; requiere interfaz compatible</t>
        </is>
      </c>
    </row>
    <row r="12" ht="44" customHeight="1">
      <c r="A12" s="10" t="inlineStr">
        <is>
          <t>Detroit Master Diagnostics</t>
        </is>
      </c>
      <c r="B12" s="4" t="inlineStr">
        <is>
          <t>OEM Detroit Diesel</t>
        </is>
      </c>
      <c r="C12" s="4" t="inlineStr">
        <is>
          <t>detroitdiesel.com</t>
        </is>
      </c>
      <c r="D12" s="4" t="inlineStr">
        <is>
          <t>Software oficial DDEC III/IV; lectura de eventos, calibración, programación de parámetros de flota</t>
        </is>
      </c>
      <c r="E12" s="4" t="inlineStr">
        <is>
          <t>Datos de operación de flota (black box); programación de limitadores de velocidad y RPM</t>
        </is>
      </c>
      <c r="F12" s="31" t="inlineStr">
        <is>
          <t>De pago — programa de talleres autorizados Detroit</t>
        </is>
      </c>
    </row>
    <row r="13" ht="44" customHeight="1">
      <c r="A13" s="9" t="inlineStr">
        <is>
          <t>Carfolio / Auto-Data.net</t>
        </is>
      </c>
      <c r="B13" s="3" t="inlineStr">
        <is>
          <t>Especificaciones generales</t>
        </is>
      </c>
      <c r="C13" s="3" t="inlineStr">
        <is>
          <t>carfolio.com / auto-data.net</t>
        </is>
      </c>
      <c r="D13" s="3" t="inlineStr">
        <is>
          <t>Catálogo mundial de especificaciones: HP, torque, peso, dimensiones para más de 50,000 versiones</t>
        </is>
      </c>
      <c r="E13" s="3" t="inlineStr">
        <is>
          <t>Referencias rápidas de potencia y torque para diagnóstico de rendimiento comparativo</t>
        </is>
      </c>
      <c r="F13" s="12" t="inlineStr">
        <is>
          <t>Gratuito — web pública; API de pago para integración</t>
        </is>
      </c>
    </row>
    <row r="14" ht="44" customHeight="1">
      <c r="A14" s="10" t="inlineStr">
        <is>
          <t>Scribd (Documentos Técnicos)</t>
        </is>
      </c>
      <c r="B14" s="4" t="inlineStr">
        <is>
          <t>Repositorio colaborativo</t>
        </is>
      </c>
      <c r="C14" s="4" t="inlineStr">
        <is>
          <t>scribd.com</t>
        </is>
      </c>
      <c r="D14" s="4" t="inlineStr">
        <is>
          <t>Miles de documentos técnicos: pinouts, diagramas, TSBs subidos por la comunidad global</t>
        </is>
      </c>
      <c r="E14" s="4" t="inlineStr">
        <is>
          <t>Acceso a diagramas raros y pinouts específicos sin suscripción OEM</t>
        </is>
      </c>
      <c r="F14" s="4" t="inlineStr">
        <is>
          <t>Freemium — algunos documentos gratuitos; suscripción para acceso completo</t>
        </is>
      </c>
    </row>
  </sheetData>
  <mergeCells count="1">
    <mergeCell ref="A1:F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26" customWidth="1" min="1" max="1"/>
    <col width="32" customWidth="1" min="2" max="2"/>
    <col width="12" customWidth="1" min="3" max="3"/>
    <col width="10" customWidth="1" min="4" max="4"/>
    <col width="10" customWidth="1" min="5" max="5"/>
    <col width="18" customWidth="1" min="6" max="6"/>
    <col width="44" customWidth="1" min="7" max="7"/>
    <col width="14" customWidth="1" min="8" max="8"/>
  </cols>
  <sheetData>
    <row r="1" ht="24" customHeight="1">
      <c r="A1" s="1" t="inlineStr">
        <is>
          <t>ESPECIFICACIONES DE TORQUE DE APRIETE — Por Familia de Motor (Secuencias TTY y Angular)</t>
        </is>
      </c>
    </row>
    <row r="2" ht="32" customHeight="1">
      <c r="A2" s="2" t="inlineStr">
        <is>
          <t>Familia / Motor</t>
        </is>
      </c>
      <c r="B2" s="2" t="inlineStr">
        <is>
          <t>Componente</t>
        </is>
      </c>
      <c r="C2" s="2" t="inlineStr">
        <is>
          <t>Paso</t>
        </is>
      </c>
      <c r="D2" s="2" t="inlineStr">
        <is>
          <t>Valor</t>
        </is>
      </c>
      <c r="E2" s="2" t="inlineStr">
        <is>
          <t>Unidad</t>
        </is>
      </c>
      <c r="F2" s="2" t="inlineStr">
        <is>
          <t>Condición</t>
        </is>
      </c>
      <c r="G2" s="2" t="inlineStr">
        <is>
          <t>Nota Crítica</t>
        </is>
      </c>
      <c r="H2" s="2" t="inlineStr">
        <is>
          <t>⚠️ TTY?</t>
        </is>
      </c>
    </row>
    <row r="3" ht="36" customHeight="1">
      <c r="A3" s="9" t="inlineStr">
        <is>
          <t>Ford Coyote 5.0L</t>
        </is>
      </c>
      <c r="B3" s="3" t="inlineStr">
        <is>
          <t>Tapa de Bancada — Perno Vertical Interior</t>
        </is>
      </c>
      <c r="C3" s="3" t="inlineStr">
        <is>
          <t>Paso 1</t>
        </is>
      </c>
      <c r="D3" s="14" t="inlineStr">
        <is>
          <t>177</t>
        </is>
      </c>
      <c r="E3" s="3" t="inlineStr">
        <is>
          <t>in-lbs</t>
        </is>
      </c>
      <c r="F3" s="3" t="inlineStr">
        <is>
          <t>Seco (Dry)</t>
        </is>
      </c>
      <c r="G3" s="3" t="inlineStr">
        <is>
          <t>Apriete inicial de asentamiento uniforme — no saltar pernos</t>
        </is>
      </c>
      <c r="H3" s="3" t="inlineStr">
        <is>
          <t>NO</t>
        </is>
      </c>
    </row>
    <row r="4" ht="36" customHeight="1">
      <c r="A4" s="10" t="inlineStr">
        <is>
          <t>Ford Coyote 5.0L</t>
        </is>
      </c>
      <c r="B4" s="4" t="inlineStr">
        <is>
          <t>Tapa de Bancada — Perno Vertical Interior</t>
        </is>
      </c>
      <c r="C4" s="4" t="inlineStr">
        <is>
          <t>Paso 2</t>
        </is>
      </c>
      <c r="D4" s="15" t="inlineStr">
        <is>
          <t>48</t>
        </is>
      </c>
      <c r="E4" s="4" t="inlineStr">
        <is>
          <t>ft-lbs</t>
        </is>
      </c>
      <c r="F4" s="4" t="inlineStr">
        <is>
          <t>Seco (Dry)</t>
        </is>
      </c>
      <c r="G4" s="4" t="inlineStr">
        <is>
          <t>Apriete progresivo antes del angular</t>
        </is>
      </c>
      <c r="H4" s="4" t="inlineStr">
        <is>
          <t>NO</t>
        </is>
      </c>
    </row>
    <row r="5" ht="36" customHeight="1">
      <c r="A5" s="9" t="inlineStr">
        <is>
          <t>Ford Coyote 5.0L</t>
        </is>
      </c>
      <c r="B5" s="3" t="inlineStr">
        <is>
          <t>Tapa de Bancada — Perno Vertical Interior</t>
        </is>
      </c>
      <c r="C5" s="3" t="inlineStr">
        <is>
          <t>Paso 3</t>
        </is>
      </c>
      <c r="D5" s="14" t="inlineStr">
        <is>
          <t>+90°</t>
        </is>
      </c>
      <c r="E5" s="3" t="inlineStr">
        <is>
          <t>Grados</t>
        </is>
      </c>
      <c r="F5" s="3" t="inlineStr">
        <is>
          <t>—</t>
        </is>
      </c>
      <c r="G5" s="3" t="inlineStr">
        <is>
          <t>Apriete angular final; usar indicador de ángulo</t>
        </is>
      </c>
      <c r="H5" s="26" t="inlineStr">
        <is>
          <t>SÍ — TTY</t>
        </is>
      </c>
    </row>
    <row r="6" ht="36" customHeight="1">
      <c r="A6" s="10" t="inlineStr">
        <is>
          <t>Ford Coyote 5.0L</t>
        </is>
      </c>
      <c r="B6" s="4" t="inlineStr">
        <is>
          <t>Tapa de Bancada — Perno Vertical Exterior</t>
        </is>
      </c>
      <c r="C6" s="4" t="inlineStr">
        <is>
          <t>Paso 1</t>
        </is>
      </c>
      <c r="D6" s="15" t="inlineStr">
        <is>
          <t>177</t>
        </is>
      </c>
      <c r="E6" s="4" t="inlineStr">
        <is>
          <t>in-lbs</t>
        </is>
      </c>
      <c r="F6" s="4" t="inlineStr">
        <is>
          <t>Seco (Dry)</t>
        </is>
      </c>
      <c r="G6" s="4" t="inlineStr">
        <is>
          <t>Secuencia exterior inicia DESPUÉS de verticals interiores</t>
        </is>
      </c>
      <c r="H6" s="4" t="inlineStr">
        <is>
          <t>NO</t>
        </is>
      </c>
    </row>
    <row r="7" ht="36" customHeight="1">
      <c r="A7" s="9" t="inlineStr">
        <is>
          <t>Ford Coyote 5.0L</t>
        </is>
      </c>
      <c r="B7" s="3" t="inlineStr">
        <is>
          <t>Tapa de Bancada — Perno Vertical Exterior</t>
        </is>
      </c>
      <c r="C7" s="3" t="inlineStr">
        <is>
          <t>Paso 2</t>
        </is>
      </c>
      <c r="D7" s="14" t="inlineStr">
        <is>
          <t>30</t>
        </is>
      </c>
      <c r="E7" s="3" t="inlineStr">
        <is>
          <t>ft-lbs</t>
        </is>
      </c>
      <c r="F7" s="3" t="inlineStr">
        <is>
          <t>Seco (Dry)</t>
        </is>
      </c>
      <c r="G7" s="3" t="inlineStr">
        <is>
          <t>Menor torque que interior por menor carga</t>
        </is>
      </c>
      <c r="H7" s="3" t="inlineStr">
        <is>
          <t>NO</t>
        </is>
      </c>
    </row>
    <row r="8" ht="36" customHeight="1">
      <c r="A8" s="10" t="inlineStr">
        <is>
          <t>Ford Coyote 5.0L</t>
        </is>
      </c>
      <c r="B8" s="4" t="inlineStr">
        <is>
          <t>Tapa de Bancada — Perno Vertical Exterior</t>
        </is>
      </c>
      <c r="C8" s="4" t="inlineStr">
        <is>
          <t>Paso 3</t>
        </is>
      </c>
      <c r="D8" s="15" t="inlineStr">
        <is>
          <t>+90°</t>
        </is>
      </c>
      <c r="E8" s="4" t="inlineStr">
        <is>
          <t>Grados</t>
        </is>
      </c>
      <c r="F8" s="4" t="inlineStr">
        <is>
          <t>—</t>
        </is>
      </c>
      <c r="G8" s="4" t="inlineStr">
        <is>
          <t>Angular final; verificar que el perno no gire libremente</t>
        </is>
      </c>
      <c r="H8" s="27" t="inlineStr">
        <is>
          <t>SÍ — TTY</t>
        </is>
      </c>
    </row>
    <row r="9" ht="36" customHeight="1">
      <c r="A9" s="9" t="inlineStr">
        <is>
          <t>Ford Coyote 5.0L</t>
        </is>
      </c>
      <c r="B9" s="3" t="inlineStr">
        <is>
          <t>Tapa de Bancada — Perno Lateral (Cross-bolt)</t>
        </is>
      </c>
      <c r="C9" s="3" t="inlineStr">
        <is>
          <t>Paso 1</t>
        </is>
      </c>
      <c r="D9" s="14" t="inlineStr">
        <is>
          <t>89</t>
        </is>
      </c>
      <c r="E9" s="3" t="inlineStr">
        <is>
          <t>in-lbs</t>
        </is>
      </c>
      <c r="F9" s="3" t="inlineStr">
        <is>
          <t>Seco (Dry)</t>
        </is>
      </c>
      <c r="G9" s="3" t="inlineStr">
        <is>
          <t>Cross-bolts perpendiculares; apretar DESPUÉS de los verticales</t>
        </is>
      </c>
      <c r="H9" s="3" t="inlineStr">
        <is>
          <t>NO</t>
        </is>
      </c>
    </row>
    <row r="10" ht="36" customHeight="1">
      <c r="A10" s="10" t="inlineStr">
        <is>
          <t>Ford Coyote 5.0L</t>
        </is>
      </c>
      <c r="B10" s="4" t="inlineStr">
        <is>
          <t>Tapa de Bancada — Perno Lateral (Cross-bolt)</t>
        </is>
      </c>
      <c r="C10" s="4" t="inlineStr">
        <is>
          <t>Paso 2</t>
        </is>
      </c>
      <c r="D10" s="15" t="inlineStr">
        <is>
          <t>22</t>
        </is>
      </c>
      <c r="E10" s="4" t="inlineStr">
        <is>
          <t>ft-lbs</t>
        </is>
      </c>
      <c r="F10" s="4" t="inlineStr">
        <is>
          <t>Seco (Dry)</t>
        </is>
      </c>
      <c r="G10" s="4" t="inlineStr">
        <is>
          <t>Los cross-bolts asientan las tapas lateralmente</t>
        </is>
      </c>
      <c r="H10" s="4" t="inlineStr">
        <is>
          <t>NO</t>
        </is>
      </c>
    </row>
    <row r="11" ht="36" customHeight="1">
      <c r="A11" s="9" t="inlineStr">
        <is>
          <t>Ford Coyote 5.0L</t>
        </is>
      </c>
      <c r="B11" s="3" t="inlineStr">
        <is>
          <t>Tapa de Bancada — Perno Lateral (Cross-bolt)</t>
        </is>
      </c>
      <c r="C11" s="3" t="inlineStr">
        <is>
          <t>Paso 3</t>
        </is>
      </c>
      <c r="D11" s="14" t="inlineStr">
        <is>
          <t>+60°</t>
        </is>
      </c>
      <c r="E11" s="3" t="inlineStr">
        <is>
          <t>Grados</t>
        </is>
      </c>
      <c r="F11" s="3" t="inlineStr">
        <is>
          <t>—</t>
        </is>
      </c>
      <c r="G11" s="3" t="inlineStr">
        <is>
          <t>Menor ángulo que verticales por menor longitud de perno</t>
        </is>
      </c>
      <c r="H11" s="26" t="inlineStr">
        <is>
          <t>SÍ — TTY</t>
        </is>
      </c>
    </row>
    <row r="12" ht="36" customHeight="1">
      <c r="A12" s="10" t="inlineStr">
        <is>
          <t>VW EA888 Gen3 (Golf GTI, Audi A4)</t>
        </is>
      </c>
      <c r="B12" s="4" t="inlineStr">
        <is>
          <t>Tornillo de Culata</t>
        </is>
      </c>
      <c r="C12" s="4" t="inlineStr">
        <is>
          <t>Paso 1</t>
        </is>
      </c>
      <c r="D12" s="15" t="inlineStr">
        <is>
          <t>40</t>
        </is>
      </c>
      <c r="E12" s="4" t="inlineStr">
        <is>
          <t>Nm</t>
        </is>
      </c>
      <c r="F12" s="4" t="inlineStr">
        <is>
          <t>Seco (Dry)</t>
        </is>
      </c>
      <c r="G12" s="4" t="inlineStr">
        <is>
          <t>Apriete inicial en secuencia espiral desde centro hacia afuera</t>
        </is>
      </c>
      <c r="H12" s="27" t="inlineStr">
        <is>
          <t>SÍ — TTY</t>
        </is>
      </c>
    </row>
    <row r="13" ht="36" customHeight="1">
      <c r="A13" s="9" t="inlineStr">
        <is>
          <t>VW EA888 Gen3 (Golf GTI, Audi A4)</t>
        </is>
      </c>
      <c r="B13" s="3" t="inlineStr">
        <is>
          <t>Tornillo de Culata</t>
        </is>
      </c>
      <c r="C13" s="3" t="inlineStr">
        <is>
          <t>Paso 2</t>
        </is>
      </c>
      <c r="D13" s="14" t="inlineStr">
        <is>
          <t>+90°</t>
        </is>
      </c>
      <c r="E13" s="3" t="inlineStr">
        <is>
          <t>Grados</t>
        </is>
      </c>
      <c r="F13" s="3" t="inlineStr">
        <is>
          <t>—</t>
        </is>
      </c>
      <c r="G13" s="3" t="inlineStr">
        <is>
          <t>Primera vuelta angular — usar socket de ángulo</t>
        </is>
      </c>
      <c r="H13" s="26" t="inlineStr">
        <is>
          <t>SÍ — TTY</t>
        </is>
      </c>
    </row>
    <row r="14" ht="36" customHeight="1">
      <c r="A14" s="10" t="inlineStr">
        <is>
          <t>VW EA888 Gen3 (Golf GTI, Audi A4)</t>
        </is>
      </c>
      <c r="B14" s="4" t="inlineStr">
        <is>
          <t>Tornillo de Culata</t>
        </is>
      </c>
      <c r="C14" s="4" t="inlineStr">
        <is>
          <t>Paso 3</t>
        </is>
      </c>
      <c r="D14" s="15" t="inlineStr">
        <is>
          <t>+90°</t>
        </is>
      </c>
      <c r="E14" s="4" t="inlineStr">
        <is>
          <t>Grados</t>
        </is>
      </c>
      <c r="F14" s="4" t="inlineStr">
        <is>
          <t>—</t>
        </is>
      </c>
      <c r="G14" s="4" t="inlineStr">
        <is>
          <t>Segunda vuelta angular</t>
        </is>
      </c>
      <c r="H14" s="27" t="inlineStr">
        <is>
          <t>SÍ — TTY</t>
        </is>
      </c>
    </row>
    <row r="15" ht="36" customHeight="1">
      <c r="A15" s="9" t="inlineStr">
        <is>
          <t>VW EA888 Gen3 (Golf GTI, Audi A4)</t>
        </is>
      </c>
      <c r="B15" s="3" t="inlineStr">
        <is>
          <t>Tornillo de Culata</t>
        </is>
      </c>
      <c r="C15" s="3" t="inlineStr">
        <is>
          <t>Paso 4</t>
        </is>
      </c>
      <c r="D15" s="14" t="inlineStr">
        <is>
          <t>+90°</t>
        </is>
      </c>
      <c r="E15" s="3" t="inlineStr">
        <is>
          <t>Grados</t>
        </is>
      </c>
      <c r="F15" s="3" t="inlineStr">
        <is>
          <t>—</t>
        </is>
      </c>
      <c r="G15" s="3" t="inlineStr">
        <is>
          <t>Tercera vuelta angular TOTAL = 270° angular + 40Nm inicial</t>
        </is>
      </c>
      <c r="H15" s="26" t="inlineStr">
        <is>
          <t>SÍ — TTY</t>
        </is>
      </c>
    </row>
    <row r="16" ht="36" customHeight="1">
      <c r="A16" s="10" t="inlineStr">
        <is>
          <t>VW EA888 Gen3 (Golf GTI, Audi A4)</t>
        </is>
      </c>
      <c r="B16" s="4" t="inlineStr">
        <is>
          <t>Tornillo de Culata</t>
        </is>
      </c>
      <c r="C16" s="4" t="inlineStr">
        <is>
          <t>⚠️ AVISO</t>
        </is>
      </c>
      <c r="D16" s="15" t="inlineStr">
        <is>
          <t>REEMPLAZAR</t>
        </is>
      </c>
      <c r="E16" s="4" t="inlineStr">
        <is>
          <t>Obligatorio</t>
        </is>
      </c>
      <c r="F16" s="4" t="inlineStr">
        <is>
          <t>—</t>
        </is>
      </c>
      <c r="G16" s="4" t="inlineStr">
        <is>
          <t>Tornillos de deformación plástica — USO ÚNICO; nunca reutilizar</t>
        </is>
      </c>
      <c r="H16" s="27" t="inlineStr">
        <is>
          <t>SÍ — TTY</t>
        </is>
      </c>
    </row>
    <row r="17" ht="36" customHeight="1">
      <c r="A17" s="9" t="inlineStr">
        <is>
          <t>Honda Serie K (K20/K24)</t>
        </is>
      </c>
      <c r="B17" s="3" t="inlineStr">
        <is>
          <t>Tornillo de Culata — Tornillo NUEVO</t>
        </is>
      </c>
      <c r="C17" s="3" t="inlineStr">
        <is>
          <t>Paso 1</t>
        </is>
      </c>
      <c r="D17" s="14" t="inlineStr">
        <is>
          <t>29</t>
        </is>
      </c>
      <c r="E17" s="3" t="inlineStr">
        <is>
          <t>ft-lbs</t>
        </is>
      </c>
      <c r="F17" s="3" t="inlineStr">
        <is>
          <t>Seco</t>
        </is>
      </c>
      <c r="G17" s="3" t="inlineStr">
        <is>
          <t>Apriete base con tornillo nuevo en secuencia spiral</t>
        </is>
      </c>
      <c r="H17" s="26" t="inlineStr">
        <is>
          <t>SÍ — TTY</t>
        </is>
      </c>
    </row>
    <row r="18" ht="36" customHeight="1">
      <c r="A18" s="10" t="inlineStr">
        <is>
          <t>Honda Serie K (K20/K24)</t>
        </is>
      </c>
      <c r="B18" s="4" t="inlineStr">
        <is>
          <t>Tornillo de Culata — Tornillo NUEVO</t>
        </is>
      </c>
      <c r="C18" s="4" t="inlineStr">
        <is>
          <t>Paso 2</t>
        </is>
      </c>
      <c r="D18" s="15" t="inlineStr">
        <is>
          <t>+90°</t>
        </is>
      </c>
      <c r="E18" s="4" t="inlineStr">
        <is>
          <t>Grados</t>
        </is>
      </c>
      <c r="F18" s="4" t="inlineStr">
        <is>
          <t>—</t>
        </is>
      </c>
      <c r="G18" s="4" t="inlineStr">
        <is>
          <t>Primera vuelta angular</t>
        </is>
      </c>
      <c r="H18" s="27" t="inlineStr">
        <is>
          <t>SÍ — TTY</t>
        </is>
      </c>
    </row>
    <row r="19" ht="36" customHeight="1">
      <c r="A19" s="9" t="inlineStr">
        <is>
          <t>Honda Serie K (K20/K24)</t>
        </is>
      </c>
      <c r="B19" s="3" t="inlineStr">
        <is>
          <t>Tornillo de Culata — Tornillo NUEVO</t>
        </is>
      </c>
      <c r="C19" s="3" t="inlineStr">
        <is>
          <t>Paso 3</t>
        </is>
      </c>
      <c r="D19" s="14" t="inlineStr">
        <is>
          <t>+90°</t>
        </is>
      </c>
      <c r="E19" s="3" t="inlineStr">
        <is>
          <t>Grados</t>
        </is>
      </c>
      <c r="F19" s="3" t="inlineStr">
        <is>
          <t>—</t>
        </is>
      </c>
      <c r="G19" s="3" t="inlineStr">
        <is>
          <t>Segunda vuelta angular — total 180° + 29 ft-lbs</t>
        </is>
      </c>
      <c r="H19" s="26" t="inlineStr">
        <is>
          <t>SÍ — TTY</t>
        </is>
      </c>
    </row>
    <row r="20" ht="36" customHeight="1">
      <c r="A20" s="10" t="inlineStr">
        <is>
          <t>Honda Serie K (K20/K24)</t>
        </is>
      </c>
      <c r="B20" s="4" t="inlineStr">
        <is>
          <t>Tornillo de Culata — REUTILIZADO (si en tolerancia)</t>
        </is>
      </c>
      <c r="C20" s="4" t="inlineStr">
        <is>
          <t>Paso 1</t>
        </is>
      </c>
      <c r="D20" s="15" t="inlineStr">
        <is>
          <t>29</t>
        </is>
      </c>
      <c r="E20" s="4" t="inlineStr">
        <is>
          <t>ft-lbs</t>
        </is>
      </c>
      <c r="F20" s="4" t="inlineStr">
        <is>
          <t>Seco</t>
        </is>
      </c>
      <c r="G20" s="4" t="inlineStr">
        <is>
          <t>Solo si tornillo mide dentro de spec de elongación</t>
        </is>
      </c>
      <c r="H20" s="4" t="inlineStr">
        <is>
          <t>Verificar</t>
        </is>
      </c>
    </row>
    <row r="21" ht="36" customHeight="1">
      <c r="A21" s="9" t="inlineStr">
        <is>
          <t>Honda Serie K (K20/K24)</t>
        </is>
      </c>
      <c r="B21" s="3" t="inlineStr">
        <is>
          <t>Tornillo de Culata — REUTILIZADO (si en tolerancia)</t>
        </is>
      </c>
      <c r="C21" s="3" t="inlineStr">
        <is>
          <t>Paso 2</t>
        </is>
      </c>
      <c r="D21" s="14" t="inlineStr">
        <is>
          <t>+90°</t>
        </is>
      </c>
      <c r="E21" s="3" t="inlineStr">
        <is>
          <t>Grados</t>
        </is>
      </c>
      <c r="F21" s="3" t="inlineStr">
        <is>
          <t>—</t>
        </is>
      </c>
      <c r="G21" s="3" t="inlineStr">
        <is>
          <t>Solo 1 paso angular (no 2) si se reutiliza tornillo previo</t>
        </is>
      </c>
      <c r="H21" s="3" t="inlineStr">
        <is>
          <t>Verificar</t>
        </is>
      </c>
    </row>
    <row r="22" ht="36" customHeight="1">
      <c r="A22" s="10" t="inlineStr">
        <is>
          <t>Nissan QR25DE</t>
        </is>
      </c>
      <c r="B22" s="4" t="inlineStr">
        <is>
          <t>Tornillo de Culata</t>
        </is>
      </c>
      <c r="C22" s="4" t="inlineStr">
        <is>
          <t>Paso 1</t>
        </is>
      </c>
      <c r="D22" s="15" t="inlineStr">
        <is>
          <t>29</t>
        </is>
      </c>
      <c r="E22" s="4" t="inlineStr">
        <is>
          <t>Nm</t>
        </is>
      </c>
      <c r="F22" s="4" t="inlineStr">
        <is>
          <t>Aceite en rosca</t>
        </is>
      </c>
      <c r="G22" s="4" t="inlineStr">
        <is>
          <t>Bloque aluminio con camisas de hierro — muy propenso a deformación</t>
        </is>
      </c>
      <c r="H22" s="27" t="inlineStr">
        <is>
          <t>SÍ — TTY</t>
        </is>
      </c>
    </row>
    <row r="23" ht="36" customHeight="1">
      <c r="A23" s="9" t="inlineStr">
        <is>
          <t>Nissan QR25DE</t>
        </is>
      </c>
      <c r="B23" s="3" t="inlineStr">
        <is>
          <t>Tornillo de Culata</t>
        </is>
      </c>
      <c r="C23" s="3" t="inlineStr">
        <is>
          <t>Paso 2</t>
        </is>
      </c>
      <c r="D23" s="14" t="inlineStr">
        <is>
          <t>59</t>
        </is>
      </c>
      <c r="E23" s="3" t="inlineStr">
        <is>
          <t>Nm</t>
        </is>
      </c>
      <c r="F23" s="3" t="inlineStr">
        <is>
          <t>Aceite en rosca</t>
        </is>
      </c>
      <c r="G23" s="3" t="inlineStr">
        <is>
          <t>No usar sin lubricación — torque seco diferente</t>
        </is>
      </c>
      <c r="H23" s="26" t="inlineStr">
        <is>
          <t>SÍ — TTY</t>
        </is>
      </c>
    </row>
    <row r="24" ht="36" customHeight="1">
      <c r="A24" s="10" t="inlineStr">
        <is>
          <t>Nissan QR25DE</t>
        </is>
      </c>
      <c r="B24" s="4" t="inlineStr">
        <is>
          <t>Tornillo de Culata</t>
        </is>
      </c>
      <c r="C24" s="4" t="inlineStr">
        <is>
          <t>Paso 3</t>
        </is>
      </c>
      <c r="D24" s="15" t="inlineStr">
        <is>
          <t>+60° a +65°</t>
        </is>
      </c>
      <c r="E24" s="4" t="inlineStr">
        <is>
          <t>Grados</t>
        </is>
      </c>
      <c r="F24" s="4" t="inlineStr">
        <is>
          <t>—</t>
        </is>
      </c>
      <c r="G24" s="4" t="inlineStr">
        <is>
          <t>Angular moderado por diseño de culata aluminio</t>
        </is>
      </c>
      <c r="H24" s="27" t="inlineStr">
        <is>
          <t>SÍ — TTY</t>
        </is>
      </c>
    </row>
    <row r="25" ht="36" customHeight="1">
      <c r="A25" s="9" t="inlineStr">
        <is>
          <t>Nissan QR25DE</t>
        </is>
      </c>
      <c r="B25" s="3" t="inlineStr">
        <is>
          <t>Tornillo de Culata</t>
        </is>
      </c>
      <c r="C25" s="3" t="inlineStr">
        <is>
          <t>Paso 4</t>
        </is>
      </c>
      <c r="D25" s="14" t="inlineStr">
        <is>
          <t>Aflojar 360°</t>
        </is>
      </c>
      <c r="E25" s="3" t="inlineStr">
        <is>
          <t>—</t>
        </is>
      </c>
      <c r="F25" s="3" t="inlineStr">
        <is>
          <t>—</t>
        </is>
      </c>
      <c r="G25" s="3" t="inlineStr">
        <is>
          <t>Aflojar completamente ANTES del paso 5 — secuencia especial Nissan</t>
        </is>
      </c>
      <c r="H25" s="26" t="inlineStr">
        <is>
          <t>SÍ — TTY</t>
        </is>
      </c>
    </row>
    <row r="26" ht="36" customHeight="1">
      <c r="A26" s="10" t="inlineStr">
        <is>
          <t>Nissan QR25DE</t>
        </is>
      </c>
      <c r="B26" s="4" t="inlineStr">
        <is>
          <t>Tornillo de Culata</t>
        </is>
      </c>
      <c r="C26" s="4" t="inlineStr">
        <is>
          <t>Paso 5</t>
        </is>
      </c>
      <c r="D26" s="15" t="inlineStr">
        <is>
          <t>25-35</t>
        </is>
      </c>
      <c r="E26" s="4" t="inlineStr">
        <is>
          <t>Nm</t>
        </is>
      </c>
      <c r="F26" s="4" t="inlineStr">
        <is>
          <t>Aceite</t>
        </is>
      </c>
      <c r="G26" s="4" t="inlineStr">
        <is>
          <t>Re-apriete final tras aflojar — verificar con torquímetro</t>
        </is>
      </c>
      <c r="H26" s="27" t="inlineStr">
        <is>
          <t>SÍ — TTY</t>
        </is>
      </c>
    </row>
    <row r="27" ht="36" customHeight="1">
      <c r="A27" s="9" t="inlineStr">
        <is>
          <t>General — Varios</t>
        </is>
      </c>
      <c r="B27" s="3" t="inlineStr">
        <is>
          <t>Tornillo de Biela (típico aluminio)</t>
        </is>
      </c>
      <c r="C27" s="3" t="inlineStr">
        <is>
          <t>Único</t>
        </is>
      </c>
      <c r="D27" s="14" t="inlineStr">
        <is>
          <t>20-25 + 90°</t>
        </is>
      </c>
      <c r="E27" s="3" t="inlineStr">
        <is>
          <t>Nm + Grados</t>
        </is>
      </c>
      <c r="F27" s="3" t="inlineStr">
        <is>
          <t>Seco o aceite según OEM</t>
        </is>
      </c>
      <c r="G27" s="3" t="inlineStr">
        <is>
          <t>Siempre reemplazar; par biela asimétrico destruye rodamiento</t>
        </is>
      </c>
      <c r="H27" s="26" t="inlineStr">
        <is>
          <t>SÍ — TTY</t>
        </is>
      </c>
    </row>
    <row r="28" ht="36" customHeight="1">
      <c r="A28" s="10" t="inlineStr">
        <is>
          <t>General — Varios</t>
        </is>
      </c>
      <c r="B28" s="4" t="inlineStr">
        <is>
          <t>Tornillo de Volante de Motor</t>
        </is>
      </c>
      <c r="C28" s="4" t="inlineStr">
        <is>
          <t>Único</t>
        </is>
      </c>
      <c r="D28" s="15" t="inlineStr">
        <is>
          <t>60-90</t>
        </is>
      </c>
      <c r="E28" s="4" t="inlineStr">
        <is>
          <t>Nm</t>
        </is>
      </c>
      <c r="F28" s="4" t="inlineStr">
        <is>
          <t>Loctite 243 o equivalente</t>
        </is>
      </c>
      <c r="G28" s="4" t="inlineStr">
        <is>
          <t>No angular en la mayoría; verificar espiga de posición antes de apriete</t>
        </is>
      </c>
      <c r="H28" s="4" t="inlineStr">
        <is>
          <t>NO</t>
        </is>
      </c>
    </row>
    <row r="29" ht="36" customHeight="1">
      <c r="A29" s="9" t="inlineStr">
        <is>
          <t>General — Varios</t>
        </is>
      </c>
      <c r="B29" s="3" t="inlineStr">
        <is>
          <t>Bujía (rosca aluminio)</t>
        </is>
      </c>
      <c r="C29" s="3" t="inlineStr">
        <is>
          <t>Único</t>
        </is>
      </c>
      <c r="D29" s="14" t="inlineStr">
        <is>
          <t>15-25</t>
        </is>
      </c>
      <c r="E29" s="3" t="inlineStr">
        <is>
          <t>Nm</t>
        </is>
      </c>
      <c r="F29" s="3" t="inlineStr">
        <is>
          <t>Seco (sin lubricante)</t>
        </is>
      </c>
      <c r="G29" s="3" t="inlineStr">
        <is>
          <t>Rosca en aluminio: sobreapriete destruye el bloque — usar torquímetro</t>
        </is>
      </c>
      <c r="H29" s="3" t="inlineStr">
        <is>
          <t>NO</t>
        </is>
      </c>
    </row>
    <row r="30" ht="36" customHeight="1">
      <c r="A30" s="10" t="inlineStr">
        <is>
          <t>General — Varios</t>
        </is>
      </c>
      <c r="B30" s="4" t="inlineStr">
        <is>
          <t>Sensor CKP / CMP</t>
        </is>
      </c>
      <c r="C30" s="4" t="inlineStr">
        <is>
          <t>Único</t>
        </is>
      </c>
      <c r="D30" s="15" t="inlineStr">
        <is>
          <t>6-10</t>
        </is>
      </c>
      <c r="E30" s="4" t="inlineStr">
        <is>
          <t>Nm</t>
        </is>
      </c>
      <c r="F30" s="4" t="inlineStr">
        <is>
          <t>Seco</t>
        </is>
      </c>
      <c r="G30" s="4" t="inlineStr">
        <is>
          <t>Tornillo M6 delicado — sin crossthread; verificar gap 0.5-1.5 mm</t>
        </is>
      </c>
      <c r="H30" s="4" t="inlineStr">
        <is>
          <t>NO</t>
        </is>
      </c>
    </row>
  </sheetData>
  <mergeCells count="1">
    <mergeCell ref="A1:H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18" customWidth="1" min="1" max="1"/>
    <col width="22" customWidth="1" min="2" max="2"/>
    <col width="22" customWidth="1" min="3" max="3"/>
    <col width="22" customWidth="1" min="4" max="4"/>
    <col width="36" customWidth="1" min="5" max="5"/>
    <col width="16" customWidth="1" min="6" max="6"/>
    <col width="28" customWidth="1" min="7" max="7"/>
    <col width="44" customWidth="1" min="8" max="8"/>
  </cols>
  <sheetData>
    <row r="1" ht="24" customHeight="1">
      <c r="A1" s="1" t="inlineStr">
        <is>
          <t>TRANSPONDERS Y CHIPS DE LLAVE — Identificación, Clonación e Inmovilizador por Marca</t>
        </is>
      </c>
    </row>
    <row r="2" ht="32" customHeight="1">
      <c r="A2" s="2" t="inlineStr">
        <is>
          <t>ID / Chip</t>
        </is>
      </c>
      <c r="B2" s="2" t="inlineStr">
        <is>
          <t>Familia</t>
        </is>
      </c>
      <c r="C2" s="2" t="inlineStr">
        <is>
          <t>Tipo Crypto</t>
        </is>
      </c>
      <c r="D2" s="2" t="inlineStr">
        <is>
          <t>Vehículos Comunes</t>
        </is>
      </c>
      <c r="E2" s="2" t="inlineStr">
        <is>
          <t>Método Programación</t>
        </is>
      </c>
      <c r="F2" s="2" t="inlineStr">
        <is>
          <t>¿Clonable?</t>
        </is>
      </c>
      <c r="G2" s="2" t="inlineStr">
        <is>
          <t>Chip Clon / Equivalente</t>
        </is>
      </c>
      <c r="H2" s="2" t="inlineStr">
        <is>
          <t>Nota Técnica</t>
        </is>
      </c>
    </row>
    <row r="3" ht="44" customHeight="1">
      <c r="A3" s="16" t="inlineStr">
        <is>
          <t>ID13 / Temic 11</t>
        </is>
      </c>
      <c r="B3" s="3" t="inlineStr">
        <is>
          <t>Megamos Fijo</t>
        </is>
      </c>
      <c r="C3" s="3" t="inlineStr">
        <is>
          <t>Código Fijo (no crypto)</t>
        </is>
      </c>
      <c r="D3" s="3" t="inlineStr">
        <is>
          <t>VW Golf 3, Honda Civic (pre-1998)</t>
        </is>
      </c>
      <c r="E3" s="3" t="inlineStr">
        <is>
          <t>Copia directa — sin necesidad de OBD</t>
        </is>
      </c>
      <c r="F3" s="14" t="inlineStr">
        <is>
          <t>Sí</t>
        </is>
      </c>
      <c r="G3" s="3" t="inlineStr">
        <is>
          <t>T5 / TP05</t>
        </is>
      </c>
      <c r="H3" s="3" t="inlineStr">
        <is>
          <t>Sin seguridad real; susceptible a Replay attack; extinción en mercado</t>
        </is>
      </c>
    </row>
    <row r="4" ht="44" customHeight="1">
      <c r="A4" s="17" t="inlineStr">
        <is>
          <t>ID4C / Texas 4C</t>
        </is>
      </c>
      <c r="B4" s="4" t="inlineStr">
        <is>
          <t>Texas Instruments Fijo</t>
        </is>
      </c>
      <c r="C4" s="4" t="inlineStr">
        <is>
          <t>Código Fijo</t>
        </is>
      </c>
      <c r="D4" s="4" t="inlineStr">
        <is>
          <t>Ford (pre-1998), Toyota (pre-2003)</t>
        </is>
      </c>
      <c r="E4" s="4" t="inlineStr">
        <is>
          <t>Copia directa o clonación en chip especial</t>
        </is>
      </c>
      <c r="F4" s="15" t="inlineStr">
        <is>
          <t>Sí</t>
        </is>
      </c>
      <c r="G4" s="4" t="inlineStr">
        <is>
          <t>CN1 / TPX1</t>
        </is>
      </c>
      <c r="H4" s="4" t="inlineStr">
        <is>
          <t>No reprogramable; clonar en CN1 compatible; verificar resistencia de copia 63Ω</t>
        </is>
      </c>
    </row>
    <row r="5" ht="44" customHeight="1">
      <c r="A5" s="16" t="inlineStr">
        <is>
          <t>ID46 / PCF7936</t>
        </is>
      </c>
      <c r="B5" s="3" t="inlineStr">
        <is>
          <t>NXP Philips — Hitag2</t>
        </is>
      </c>
      <c r="C5" s="3" t="inlineStr">
        <is>
          <t>Rolling + Crypto 48-bit</t>
        </is>
      </c>
      <c r="D5" s="3" t="inlineStr">
        <is>
          <t>GM, Nissan, Honda, Kia, Peugeot, Citroën</t>
        </is>
      </c>
      <c r="E5" s="3" t="inlineStr">
        <is>
          <t>OBD2 (requiere PIN del BCM/ECU)</t>
        </is>
      </c>
      <c r="F5" s="14" t="inlineStr">
        <is>
          <t>Sí (con equipo esp.)</t>
        </is>
      </c>
      <c r="G5" s="3" t="inlineStr">
        <is>
          <t>CN3 / JMA TPX4</t>
        </is>
      </c>
      <c r="H5" s="3" t="inlineStr">
        <is>
          <t>Página 3 con Secret Key; modo Virgen vs Bloqueado — verificar estado antes de usar</t>
        </is>
      </c>
    </row>
    <row r="6" ht="44" customHeight="1">
      <c r="A6" s="17" t="inlineStr">
        <is>
          <t>ID48 / Megamos Crypto</t>
        </is>
      </c>
      <c r="B6" s="4" t="inlineStr">
        <is>
          <t>Megamos — Crypto 64-bit</t>
        </is>
      </c>
      <c r="C6" s="4" t="inlineStr">
        <is>
          <t>Desafío-Respuesta 64-bit</t>
        </is>
      </c>
      <c r="D6" s="4" t="inlineStr">
        <is>
          <t>VW/Audi/SEAT (1998-2015), Volvo, Fiat</t>
        </is>
      </c>
      <c r="E6" s="4" t="inlineStr">
        <is>
          <t>OBD2 con Component Security (CS) pre-instalado</t>
        </is>
      </c>
      <c r="F6" s="15" t="inlineStr">
        <is>
          <t>Sí (con equipo esp.)</t>
        </is>
      </c>
      <c r="G6" s="4" t="inlineStr">
        <is>
          <t>Chip ID48 virgen + CS</t>
        </is>
      </c>
      <c r="H6" s="4" t="inlineStr">
        <is>
          <t>Requiere CS de 7 bytes antes de aprender; OTP — una vez en vehículo no sirve en otro</t>
        </is>
      </c>
    </row>
    <row r="7" ht="44" customHeight="1">
      <c r="A7" s="16" t="inlineStr">
        <is>
          <t>ID4D-60</t>
        </is>
      </c>
      <c r="B7" s="3" t="inlineStr">
        <is>
          <t>Texas 4D (40-bit)</t>
        </is>
      </c>
      <c r="C7" s="3" t="inlineStr">
        <is>
          <t>Rolling 40-bit</t>
        </is>
      </c>
      <c r="D7" s="3" t="inlineStr">
        <is>
          <t>Ford, Nissan (genérico)</t>
        </is>
      </c>
      <c r="E7" s="3" t="inlineStr">
        <is>
          <t>OBD2 o Incode/Outcode</t>
        </is>
      </c>
      <c r="F7" s="14" t="inlineStr">
        <is>
          <t>Sí</t>
        </is>
      </c>
      <c r="G7" s="3" t="inlineStr">
        <is>
          <t>CN2 / JMA TPX2</t>
        </is>
      </c>
      <c r="H7" s="3" t="inlineStr">
        <is>
          <t>Versión básica de la familia 4D; solo 40 bits — menos seguro que 80-bit</t>
        </is>
      </c>
    </row>
    <row r="8" ht="44" customHeight="1">
      <c r="A8" s="17" t="inlineStr">
        <is>
          <t>ID4D-63 (40-bit)</t>
        </is>
      </c>
      <c r="B8" s="4" t="inlineStr">
        <is>
          <t>Texas 4D-63 (40-bit)</t>
        </is>
      </c>
      <c r="C8" s="4" t="inlineStr">
        <is>
          <t>Rolling 40-bit</t>
        </is>
      </c>
      <c r="D8" s="4" t="inlineStr">
        <is>
          <t>Ford, Mazda (hasta ~2010)</t>
        </is>
      </c>
      <c r="E8" s="4" t="inlineStr">
        <is>
          <t>OBD2 + Incode/Outcode (algoritmo viejo)</t>
        </is>
      </c>
      <c r="F8" s="15" t="inlineStr">
        <is>
          <t>Sí</t>
        </is>
      </c>
      <c r="G8" s="4" t="inlineStr">
        <is>
          <t>CN2</t>
        </is>
      </c>
      <c r="H8" s="4" t="inlineStr">
        <is>
          <t>No confundir con 80-bit del mismo ID; verificar año del vehículo</t>
        </is>
      </c>
    </row>
    <row r="9" ht="44" customHeight="1">
      <c r="A9" s="16" t="inlineStr">
        <is>
          <t>ID4D-63 (80-bit)</t>
        </is>
      </c>
      <c r="B9" s="3" t="inlineStr">
        <is>
          <t>Texas 4D-63 (80-bit)</t>
        </is>
      </c>
      <c r="C9" s="3" t="inlineStr">
        <is>
          <t>Rolling 80-bit</t>
        </is>
      </c>
      <c r="D9" s="3" t="inlineStr">
        <is>
          <t>Ford, Mazda (2011+)</t>
        </is>
      </c>
      <c r="E9" s="3" t="inlineStr">
        <is>
          <t>OBD2 + Incode/Outcode (algoritmo nuevo/online)</t>
        </is>
      </c>
      <c r="F9" s="14" t="inlineStr">
        <is>
          <t>Sí</t>
        </is>
      </c>
      <c r="G9" s="3" t="inlineStr">
        <is>
          <t>CN6 / CN5</t>
        </is>
      </c>
      <c r="H9" s="3" t="inlineStr">
        <is>
          <t>80-bit en mismo conector; usar chip 80-bit compatible — un 40-bit dará error</t>
        </is>
      </c>
    </row>
    <row r="10" ht="44" customHeight="1">
      <c r="A10" s="17" t="inlineStr">
        <is>
          <t>ID4D-67</t>
        </is>
      </c>
      <c r="B10" s="4" t="inlineStr">
        <is>
          <t>Texas 4D-67</t>
        </is>
      </c>
      <c r="C10" s="4" t="inlineStr">
        <is>
          <t>Texas Crypto — Toyota Específico</t>
        </is>
      </c>
      <c r="D10" s="4" t="inlineStr">
        <is>
          <t>Toyota/Lexus (varios modelos 2003-2009)</t>
        </is>
      </c>
      <c r="E10" s="4" t="inlineStr">
        <is>
          <t>OBD2 (Master Key requerida) o EEPROM</t>
        </is>
      </c>
      <c r="F10" s="15" t="inlineStr">
        <is>
          <t>Sí (limitado)</t>
        </is>
      </c>
      <c r="G10" s="4" t="inlineStr">
        <is>
          <t>Requiere Master 4D-67</t>
        </is>
      </c>
      <c r="H10" s="4" t="inlineStr">
        <is>
          <t>Chip debe estar pre-codificado como Master o Sub; verificar con lector de chip</t>
        </is>
      </c>
    </row>
    <row r="11" ht="44" customHeight="1">
      <c r="A11" s="16" t="inlineStr">
        <is>
          <t>ID4D-72 (G-Chip)</t>
        </is>
      </c>
      <c r="B11" s="3" t="inlineStr">
        <is>
          <t>Texas 4D-72</t>
        </is>
      </c>
      <c r="C11" s="3" t="inlineStr">
        <is>
          <t>Texas AES Simplificado</t>
        </is>
      </c>
      <c r="D11" s="3" t="inlineStr">
        <is>
          <t>Toyota (2010-2014) — identificar 'G' en hoja</t>
        </is>
      </c>
      <c r="E11" s="3" t="inlineStr">
        <is>
          <t>OBD2 con scanner compatible G-chip</t>
        </is>
      </c>
      <c r="F11" s="16" t="inlineStr">
        <is>
          <t>Limitado</t>
        </is>
      </c>
      <c r="G11" s="3" t="inlineStr">
        <is>
          <t>VVDI Super Chip / TPX6</t>
        </is>
      </c>
      <c r="H11" s="3" t="inlineStr">
        <is>
          <t>La 'G' grabada en la hoja de la llave identifica este chip; sin ella es 4D-67</t>
        </is>
      </c>
    </row>
    <row r="12" ht="44" customHeight="1">
      <c r="A12" s="17" t="inlineStr">
        <is>
          <t>ID8A / H-Chip</t>
        </is>
      </c>
      <c r="B12" s="4" t="inlineStr">
        <is>
          <t>Texas AES-128</t>
        </is>
      </c>
      <c r="C12" s="4" t="inlineStr">
        <is>
          <t>AES 128-bit — Alta Seguridad</t>
        </is>
      </c>
      <c r="D12" s="4" t="inlineStr">
        <is>
          <t>Toyota (2014+) — sistema Smart Key</t>
        </is>
      </c>
      <c r="E12" s="4" t="inlineStr">
        <is>
          <t>OBD2 con Master Key + servidor AES</t>
        </is>
      </c>
      <c r="F12" s="4" t="inlineStr">
        <is>
          <t>Muy limitado</t>
        </is>
      </c>
      <c r="G12" s="4" t="inlineStr">
        <is>
          <t>APB112 emulador Autel</t>
        </is>
      </c>
      <c r="H12" s="4" t="inlineStr">
        <is>
          <t>Sin Master Key: requiere APB112 (emulador) o lectura EEPROM de módulo Inmo</t>
        </is>
      </c>
    </row>
    <row r="13" ht="44" customHeight="1">
      <c r="A13" s="16" t="inlineStr">
        <is>
          <t>ID47 / Hitag Pro</t>
        </is>
      </c>
      <c r="B13" s="3" t="inlineStr">
        <is>
          <t>NXP Hitag Pro</t>
        </is>
      </c>
      <c r="C13" s="3" t="inlineStr">
        <is>
          <t>AES bidireccional</t>
        </is>
      </c>
      <c r="D13" s="3" t="inlineStr">
        <is>
          <t>Honda (2015+), VAG MQB (parte)</t>
        </is>
      </c>
      <c r="E13" s="3" t="inlineStr">
        <is>
          <t>OBD2 con herramienta avanzada (IM608 Pro II)</t>
        </is>
      </c>
      <c r="F13" s="26" t="inlineStr">
        <is>
          <t>No (actualmente)</t>
        </is>
      </c>
      <c r="G13" s="3" t="inlineStr">
        <is>
          <t>—</t>
        </is>
      </c>
      <c r="H13" s="3" t="inlineStr">
        <is>
          <t>Protocolo bidireccional seguro; aún sin clones comerciales fiables en 2025</t>
        </is>
      </c>
    </row>
    <row r="14" ht="44" customHeight="1">
      <c r="A14" s="17" t="inlineStr">
        <is>
          <t>ID49 / Hitag AES</t>
        </is>
      </c>
      <c r="B14" s="4" t="inlineStr">
        <is>
          <t>NXP Hitag AES</t>
        </is>
      </c>
      <c r="C14" s="4" t="inlineStr">
        <is>
          <t>AES bidireccional</t>
        </is>
      </c>
      <c r="D14" s="4" t="inlineStr">
        <is>
          <t>VAG MQB (Golf 7+), Honda Civic 10th+</t>
        </is>
      </c>
      <c r="E14" s="4" t="inlineStr">
        <is>
          <t>OBD2 + CS de 16 bytes (lectura NEC/RH850)</t>
        </is>
      </c>
      <c r="F14" s="27" t="inlineStr">
        <is>
          <t>No (actualmente)</t>
        </is>
      </c>
      <c r="G14" s="4" t="inlineStr">
        <is>
          <t>—</t>
        </is>
      </c>
      <c r="H14" s="4" t="inlineStr">
        <is>
          <t>La más segura; requiere extraer CS de 16 bytes del cluster/ECU — sin CS = imposible</t>
        </is>
      </c>
    </row>
    <row r="15" ht="44" customHeight="1">
      <c r="A15" s="16" t="inlineStr">
        <is>
          <t>ID88 / Megamos AES</t>
        </is>
      </c>
      <c r="B15" s="3" t="inlineStr">
        <is>
          <t>Megamos AES</t>
        </is>
      </c>
      <c r="C15" s="3" t="inlineStr">
        <is>
          <t>AES 128-bit</t>
        </is>
      </c>
      <c r="D15" s="3" t="inlineStr">
        <is>
          <t>VAG MQB moderno (Audi A3 8V, Golf 7/8)</t>
        </is>
      </c>
      <c r="E15" s="3" t="inlineStr">
        <is>
          <t>OBD2 con plataforma ABRITES o Autel nivel avanzado</t>
        </is>
      </c>
      <c r="F15" s="26" t="inlineStr">
        <is>
          <t>No</t>
        </is>
      </c>
      <c r="G15" s="3" t="inlineStr">
        <is>
          <t>—</t>
        </is>
      </c>
      <c r="H15" s="3" t="inlineStr">
        <is>
          <t>Evolución de ID48 a AES; requiere servidor online del fabricante de herramienta</t>
        </is>
      </c>
    </row>
    <row r="16" ht="44" customHeight="1"/>
    <row r="17" ht="44" customHeight="1"/>
    <row r="18" ht="44" customHeight="1">
      <c r="A18" s="1" t="inlineStr">
        <is>
          <t>SISTEMAS DE CÓDIGO DE ACCESO / INCODE-OUTCODE — Por Fabricante</t>
        </is>
      </c>
    </row>
    <row r="19" ht="44" customHeight="1">
      <c r="A19" s="2" t="inlineStr">
        <is>
          <t>Fabricante</t>
        </is>
      </c>
      <c r="B19" s="2" t="inlineStr">
        <is>
          <t>Sistema</t>
        </is>
      </c>
      <c r="C19" s="2" t="inlineStr">
        <is>
          <t>Nombre del Desafío</t>
        </is>
      </c>
      <c r="D19" s="2" t="inlineStr">
        <is>
          <t>Nombre de la Respuesta</t>
        </is>
      </c>
      <c r="E19" s="2" t="inlineStr">
        <is>
          <t>Método de Obtención</t>
        </is>
      </c>
      <c r="F19" s="2" t="inlineStr">
        <is>
          <t>Formato</t>
        </is>
      </c>
      <c r="G19" s="2" t="inlineStr">
        <is>
          <t>Herramienta</t>
        </is>
      </c>
      <c r="H19" s="2" t="inlineStr">
        <is>
          <t>Nota</t>
        </is>
      </c>
    </row>
    <row r="20" ht="44" customHeight="1">
      <c r="A20" s="9" t="inlineStr">
        <is>
          <t>Ford / Mazda / JLR</t>
        </is>
      </c>
      <c r="B20" s="3" t="inlineStr">
        <is>
          <t>PATS / Incode-Outcode</t>
        </is>
      </c>
      <c r="C20" s="3" t="inlineStr">
        <is>
          <t>Outcode (ej. 0044-XXXXXX)</t>
        </is>
      </c>
      <c r="D20" s="3" t="inlineStr">
        <is>
          <t>Incode (ej. ABCD)</t>
        </is>
      </c>
      <c r="E20" s="3" t="inlineStr">
        <is>
          <t>Calculadora algorítmica offline (hasta 2010) o servidor online NASTF (2011+)</t>
        </is>
      </c>
      <c r="F20" s="3" t="inlineStr">
        <is>
          <t>6 dígitos HEX</t>
        </is>
      </c>
      <c r="G20" s="3" t="inlineStr">
        <is>
          <t>Autel IM608, Forscan, IDS Ford</t>
        </is>
      </c>
      <c r="H20" s="34" t="inlineStr">
        <is>
          <t>Incode válido solo 10-20 min; expirado = generar nuevo Outcode. Algoritmo nuevo requiere Wi-Fi</t>
        </is>
      </c>
    </row>
    <row r="21" ht="44" customHeight="1">
      <c r="A21" s="10" t="inlineStr">
        <is>
          <t>Nissan</t>
        </is>
      </c>
      <c r="B21" s="4" t="inlineStr">
        <is>
          <t>NATS 4/5</t>
        </is>
      </c>
      <c r="C21" s="4" t="inlineStr">
        <is>
          <t>BCM Number (5 dígitos)</t>
        </is>
      </c>
      <c r="D21" s="4" t="inlineStr">
        <is>
          <t>PIN Code (4 dígitos)</t>
        </is>
      </c>
      <c r="E21" s="4" t="inlineStr">
        <is>
          <t>Algoritmo basado en serial del BCM (impreso en etiqueta) o lectura EEPROM 93C56/66</t>
        </is>
      </c>
      <c r="F21" s="4" t="inlineStr">
        <is>
          <t>Alfanumérico 5 → PIN 4</t>
        </is>
      </c>
      <c r="G21" s="4" t="inlineStr">
        <is>
          <t>Autel IM508/608, VVDI2</t>
        </is>
      </c>
      <c r="H21" s="35" t="inlineStr">
        <is>
          <t>El serial del BCM es diferente del VIN; leerlo en etiqueta física o con escáner</t>
        </is>
      </c>
    </row>
    <row r="22" ht="44" customHeight="1">
      <c r="A22" s="9" t="inlineStr">
        <is>
          <t>Nissan Rolling</t>
        </is>
      </c>
      <c r="B22" s="3" t="inlineStr">
        <is>
          <t>NATS 6+ (2013+)</t>
        </is>
      </c>
      <c r="C22" s="3" t="inlineStr">
        <is>
          <t>BCM ID (20 dígitos)</t>
        </is>
      </c>
      <c r="D22" s="3" t="inlineStr">
        <is>
          <t>PIN Code (20 dígitos)</t>
        </is>
      </c>
      <c r="E22" s="3" t="inlineStr">
        <is>
          <t>Software avanzado transforma BCM ID a PIN; requiere cálculo en base de datos online</t>
        </is>
      </c>
      <c r="F22" s="3" t="inlineStr">
        <is>
          <t>20 dígitos numérico</t>
        </is>
      </c>
      <c r="G22" s="3" t="inlineStr">
        <is>
          <t>Autel IM608 Pro, Smart Pro</t>
        </is>
      </c>
      <c r="H22" s="34" t="inlineStr">
        <is>
          <t>El IPDM debe estar funcional; si relé de ignición IPDM falla = sin comunicación BCM</t>
        </is>
      </c>
    </row>
    <row r="23" ht="44" customHeight="1">
      <c r="A23" s="10" t="inlineStr">
        <is>
          <t>VW / Audi (Immo 3/4)</t>
        </is>
      </c>
      <c r="B23" s="4" t="inlineStr">
        <is>
          <t>IMMO 3-4 — Login Code</t>
        </is>
      </c>
      <c r="C23" s="4" t="inlineStr">
        <is>
          <t>Serial del Cluster / VIN</t>
        </is>
      </c>
      <c r="D23" s="4" t="inlineStr">
        <is>
          <t>PIN de 4-5 dígitos + CS 7 bytes</t>
        </is>
      </c>
      <c r="E23" s="4" t="inlineStr">
        <is>
          <t>Extracción de EEPROM del cluster (93C86 / 95320) o base de datos OEM (ELSA)</t>
        </is>
      </c>
      <c r="F23" s="4" t="inlineStr">
        <is>
          <t>HEX 7 bytes CS</t>
        </is>
      </c>
      <c r="G23" s="4" t="inlineStr">
        <is>
          <t>VVDI2 / Autel IM608 + adaptador</t>
        </is>
      </c>
      <c r="H23" s="35" t="inlineStr">
        <is>
          <t>CS fragmentado: parte en cluster, parte en ECU, parte en TCU — todos deben coincidir</t>
        </is>
      </c>
    </row>
    <row r="24" ht="44" customHeight="1">
      <c r="A24" s="9" t="inlineStr">
        <is>
          <t>VW / Audi (MQB)</t>
        </is>
      </c>
      <c r="B24" s="3" t="inlineStr">
        <is>
          <t>IMMO 5 — Component Security</t>
        </is>
      </c>
      <c r="C24" s="3" t="inlineStr">
        <is>
          <t>Serial NEC/RH850</t>
        </is>
      </c>
      <c r="D24" s="3" t="inlineStr">
        <is>
          <t>CS 16 bytes HEX</t>
        </is>
      </c>
      <c r="E24" s="3" t="inlineStr">
        <is>
          <t>Lectura directa del microcontrolador NEC o RH850 dentro del módulo de inmovilizador</t>
        </is>
      </c>
      <c r="F24" s="3" t="inlineStr">
        <is>
          <t>16 bytes HEX</t>
        </is>
      </c>
      <c r="G24" s="3" t="inlineStr">
        <is>
          <t>ABRITES, Autel IM608 Pro II, Yanhua ACDP</t>
        </is>
      </c>
      <c r="H24" s="34" t="inlineStr">
        <is>
          <t>Sin CS de 16 bytes = IMPOSIBLE programar llave en sistema MQB. No hay alternativa OBD</t>
        </is>
      </c>
    </row>
    <row r="25" ht="44" customHeight="1">
      <c r="A25" s="10" t="inlineStr">
        <is>
          <t>Honda</t>
        </is>
      </c>
      <c r="B25" s="4" t="inlineStr">
        <is>
          <t>IMMO Honda</t>
        </is>
      </c>
      <c r="C25" s="4" t="inlineStr">
        <is>
          <t>PCM Code (VIN)</t>
        </is>
      </c>
      <c r="D25" s="4" t="inlineStr">
        <is>
          <t>PCM Release Code</t>
        </is>
      </c>
      <c r="E25" s="4" t="inlineStr">
        <is>
          <t>Calculadora basada en VIN (All Keys Lost) o lectura de EEPROM del inmovilizador</t>
        </is>
      </c>
      <c r="F25" s="4" t="inlineStr">
        <is>
          <t>Alfanumérico 6 dígitos</t>
        </is>
      </c>
      <c r="G25" s="4" t="inlineStr">
        <is>
          <t>HDS Honda, Autel IM508</t>
        </is>
      </c>
      <c r="H25" s="35" t="inlineStr">
        <is>
          <t>Modelos 2015+ (ID47/Hitag Pro) no tienen calculadora disponible; requieren servidor online Honda</t>
        </is>
      </c>
    </row>
    <row r="26" ht="44" customHeight="1">
      <c r="A26" s="9" t="inlineStr">
        <is>
          <t>GM / Chevrolet</t>
        </is>
      </c>
      <c r="B26" s="3" t="inlineStr">
        <is>
          <t>Security Access (UDS)</t>
        </is>
      </c>
      <c r="C26" s="3" t="inlineStr">
        <is>
          <t>Seed (Semilla)</t>
        </is>
      </c>
      <c r="D26" s="3" t="inlineStr">
        <is>
          <t>Key (Respuesta)</t>
        </is>
      </c>
      <c r="E26" s="3" t="inlineStr">
        <is>
          <t>Servidor ACDelco TDS online o lectura de EEPROM BCM (24C16)</t>
        </is>
      </c>
      <c r="F26" s="3" t="inlineStr">
        <is>
          <t>HEX 4-8 bytes</t>
        </is>
      </c>
      <c r="G26" s="3" t="inlineStr">
        <is>
          <t>Tech2, Autel IM608, GDS2</t>
        </is>
      </c>
      <c r="H26" s="34" t="inlineStr">
        <is>
          <t>Cada sesión de diagnóstico genera Seed diferente; imposible calcular offline sin algoritmo propietario</t>
        </is>
      </c>
    </row>
    <row r="27" ht="44" customHeight="1">
      <c r="A27" s="10" t="inlineStr">
        <is>
          <t>Hyundai / Kia</t>
        </is>
      </c>
      <c r="B27" s="4" t="inlineStr">
        <is>
          <t>PIN por VIN</t>
        </is>
      </c>
      <c r="C27" s="4" t="inlineStr">
        <is>
          <t>VIN completo</t>
        </is>
      </c>
      <c r="D27" s="4" t="inlineStr">
        <is>
          <t>PIN 6 dígitos</t>
        </is>
      </c>
      <c r="E27" s="4" t="inlineStr">
        <is>
          <t>Pre-2007: últimos 6 del VIN. 2007-16: calculadora por VIN. 2017+: lectura OBD directa IBU</t>
        </is>
      </c>
      <c r="F27" s="4" t="inlineStr">
        <is>
          <t>6 dígitos numérico</t>
        </is>
      </c>
      <c r="G27" s="4" t="inlineStr">
        <is>
          <t>Autel IM508, KT100</t>
        </is>
      </c>
      <c r="H27" s="35" t="inlineStr">
        <is>
          <t>2017+ ya no tiene base de datos externa; PIN solo accesible desde la ECU o IBU del vehículo</t>
        </is>
      </c>
    </row>
    <row r="28" ht="44" customHeight="1">
      <c r="A28" s="9" t="inlineStr">
        <is>
          <t>Toyota</t>
        </is>
      </c>
      <c r="B28" s="3" t="inlineStr">
        <is>
          <t>LSID Seed Code</t>
        </is>
      </c>
      <c r="C28" s="3" t="inlineStr">
        <is>
          <t>Seed Code del sistema (8 dígitos HEX)</t>
        </is>
      </c>
      <c r="D28" s="3" t="inlineStr">
        <is>
          <t>Código de respuesta 6 caracteres</t>
        </is>
      </c>
      <c r="E28" s="3" t="inlineStr">
        <is>
          <t>Calculadora LSID — proceso toma 16 minutos exactos</t>
        </is>
      </c>
      <c r="F28" s="3" t="inlineStr">
        <is>
          <t>6 caracteres alfanumérico</t>
        </is>
      </c>
      <c r="G28" s="3" t="inlineStr">
        <is>
          <t>Techstream Toyota, Autel IM608</t>
        </is>
      </c>
      <c r="H28" s="34" t="inlineStr">
        <is>
          <t>El tiempo de 16 min es un requisito de diseño de seguridad; no se puede acelerar</t>
        </is>
      </c>
    </row>
    <row r="29" ht="44" customHeight="1">
      <c r="A29" s="10" t="inlineStr">
        <is>
          <t>BMW</t>
        </is>
      </c>
      <c r="B29" s="4" t="inlineStr">
        <is>
          <t>ISN (Individual Serial Number)</t>
        </is>
      </c>
      <c r="C29" s="4" t="inlineStr">
        <is>
          <t>ISN leído de DME/motor</t>
        </is>
      </c>
      <c r="D29" s="4" t="inlineStr">
        <is>
          <t>ISN escrito en CAS</t>
        </is>
      </c>
      <c r="E29" s="4" t="inlineStr">
        <is>
          <t>Leer ISN de la ECU del motor (DME); escribir en módulo CAS nuevo o reparado</t>
        </is>
      </c>
      <c r="F29" s="4" t="inlineStr">
        <is>
          <t>HEX 6-8 bytes</t>
        </is>
      </c>
      <c r="G29" s="4" t="inlineStr">
        <is>
          <t>VVDI Prog, Autel IM608 Pro, Mini ACDP</t>
        </is>
      </c>
      <c r="H29" s="35" t="inlineStr">
        <is>
          <t>CAS3+: MCU 9S12 con seguridad ISTAP; requiere downgrade o lectura directa de flash</t>
        </is>
      </c>
    </row>
    <row r="30" ht="44" customHeight="1">
      <c r="A30" s="11" t="n"/>
      <c r="B30" s="11" t="n"/>
      <c r="C30" s="11" t="n"/>
      <c r="D30" s="11" t="n"/>
      <c r="E30" s="11" t="n"/>
      <c r="F30" s="11" t="n"/>
      <c r="G30" s="11" t="n"/>
      <c r="H30" s="11" t="n"/>
    </row>
  </sheetData>
  <mergeCells count="2">
    <mergeCell ref="A18:H18"/>
    <mergeCell ref="A1:H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0"/>
  <sheetViews>
    <sheetView showGridLines="0" workbookViewId="0">
      <selection activeCell="A1" sqref="A1"/>
    </sheetView>
  </sheetViews>
  <sheetFormatPr baseColWidth="8" defaultRowHeight="15"/>
  <cols>
    <col width="26" customWidth="1" min="1" max="1"/>
    <col width="18" customWidth="1" min="2" max="2"/>
    <col width="18" customWidth="1" min="3" max="3"/>
    <col width="18" customWidth="1" min="4" max="4"/>
    <col width="28" customWidth="1" min="5" max="5"/>
    <col width="38" customWidth="1" min="6" max="6"/>
    <col width="44" customWidth="1" min="7" max="7"/>
  </cols>
  <sheetData>
    <row r="1" ht="24" customHeight="1">
      <c r="A1" s="1" t="inlineStr">
        <is>
          <t>TABLA DE VALORES DE REFERENCIA DE SENSORES — ECT / MAF / O2 / TPS / Bobinas</t>
        </is>
      </c>
    </row>
    <row r="2" ht="20" customHeight="1">
      <c r="A2" s="1" t="inlineStr">
        <is>
          <t>SENSOR ECT / IAT — Termistor NTC (Aplica GM, Toyota, Ford, VAG)</t>
        </is>
      </c>
    </row>
    <row r="3" ht="40" customHeight="1">
      <c r="A3" s="2" t="inlineStr">
        <is>
          <t>Temperatura</t>
        </is>
      </c>
      <c r="B3" s="2" t="inlineStr">
        <is>
          <t>Resistencia (Ω) Aprox.</t>
        </is>
      </c>
      <c r="C3" s="2" t="inlineStr">
        <is>
          <t>Voltaje de Señal (V)</t>
        </is>
      </c>
      <c r="D3" s="2" t="inlineStr">
        <is>
          <t>Condición de Motor</t>
        </is>
      </c>
      <c r="E3" s="2" t="inlineStr">
        <is>
          <t>Nota / Diagnóstico</t>
        </is>
      </c>
      <c r="F3" s="2" t="inlineStr">
        <is>
          <t>Marca de Referencia</t>
        </is>
      </c>
      <c r="G3" s="2" t="inlineStr">
        <is>
          <t>DTC si Falla</t>
        </is>
      </c>
    </row>
    <row r="4" ht="40" customHeight="1">
      <c r="A4" s="3" t="inlineStr">
        <is>
          <t>-40°C (Congelamiento extremo)</t>
        </is>
      </c>
      <c r="B4" s="14" t="inlineStr">
        <is>
          <t>100,000 – 150,000 Ω</t>
        </is>
      </c>
      <c r="C4" s="28" t="inlineStr">
        <is>
          <t>~4.9 V</t>
        </is>
      </c>
      <c r="D4" s="3" t="inlineStr">
        <is>
          <t>Motor helado — arranque en frío extremo</t>
        </is>
      </c>
      <c r="E4" s="3" t="inlineStr">
        <is>
          <t>Resistencia máxima = voltaje máximo; ECU enriquece máximo la mezcla</t>
        </is>
      </c>
      <c r="F4" s="3" t="inlineStr">
        <is>
          <t>Universal (NTC)</t>
        </is>
      </c>
      <c r="G4" s="30" t="inlineStr">
        <is>
          <t>P0118 — señal alta (circuito abierto)</t>
        </is>
      </c>
    </row>
    <row r="5" ht="40" customHeight="1">
      <c r="A5" s="4" t="inlineStr">
        <is>
          <t>-20°C</t>
        </is>
      </c>
      <c r="B5" s="15" t="inlineStr">
        <is>
          <t>15,000 – 20,000 Ω</t>
        </is>
      </c>
      <c r="C5" s="29" t="inlineStr">
        <is>
          <t>~4.5 V</t>
        </is>
      </c>
      <c r="D5" s="4" t="inlineStr">
        <is>
          <t>Motor muy frío</t>
        </is>
      </c>
      <c r="E5" s="4" t="inlineStr">
        <is>
          <t>Enriquecimiento alto; ralentí elevado (1500-2000 rpm normal)</t>
        </is>
      </c>
      <c r="F5" s="4" t="inlineStr">
        <is>
          <t>Universal (NTC)</t>
        </is>
      </c>
      <c r="G5" s="31" t="inlineStr">
        <is>
          <t>P0118 / P0116 rango</t>
        </is>
      </c>
    </row>
    <row r="6" ht="40" customHeight="1">
      <c r="A6" s="3" t="inlineStr">
        <is>
          <t>0°C</t>
        </is>
      </c>
      <c r="B6" s="14" t="inlineStr">
        <is>
          <t>5,000 – 7,000 Ω</t>
        </is>
      </c>
      <c r="C6" s="28" t="inlineStr">
        <is>
          <t>~3.8 – 4.0 V</t>
        </is>
      </c>
      <c r="D6" s="3" t="inlineStr">
        <is>
          <t>Temperatura bajo cero</t>
        </is>
      </c>
      <c r="E6" s="3" t="inlineStr">
        <is>
          <t>Sistema closed loop no activo aún; sensor O2 aún en calentamiento</t>
        </is>
      </c>
      <c r="F6" s="3" t="inlineStr">
        <is>
          <t>Universal (NTC)</t>
        </is>
      </c>
      <c r="G6" s="30" t="inlineStr">
        <is>
          <t>—</t>
        </is>
      </c>
    </row>
    <row r="7" ht="40" customHeight="1">
      <c r="A7" s="4" t="inlineStr">
        <is>
          <t>20°C (Ambiente)</t>
        </is>
      </c>
      <c r="B7" s="15" t="inlineStr">
        <is>
          <t>2,200 – 2,800 Ω</t>
        </is>
      </c>
      <c r="C7" s="29" t="inlineStr">
        <is>
          <t>~3.0 – 3.5 V</t>
        </is>
      </c>
      <c r="D7" s="4" t="inlineStr">
        <is>
          <t>Motor frío — arranque normal</t>
        </is>
      </c>
      <c r="E7" s="4" t="inlineStr">
        <is>
          <t>Referencia más usada para prueba en banco (temperatura conocida)</t>
        </is>
      </c>
      <c r="F7" s="4" t="inlineStr">
        <is>
          <t>Universal (NTC)</t>
        </is>
      </c>
      <c r="G7" s="31" t="inlineStr">
        <is>
          <t>P0116 fuera de rango plausible</t>
        </is>
      </c>
    </row>
    <row r="8" ht="40" customHeight="1">
      <c r="A8" s="3" t="inlineStr">
        <is>
          <t>50°C (Semicaliente)</t>
        </is>
      </c>
      <c r="B8" s="14" t="inlineStr">
        <is>
          <t>650 – 900 Ω</t>
        </is>
      </c>
      <c r="C8" s="28" t="inlineStr">
        <is>
          <t>~2.0 – 2.3 V</t>
        </is>
      </c>
      <c r="D8" s="3" t="inlineStr">
        <is>
          <t>Motor en calentamiento</t>
        </is>
      </c>
      <c r="E8" s="3" t="inlineStr">
        <is>
          <t>Algunos sistemas GM/Chrysler cambian resistencia pull-up aquí — salto de voltaje normal</t>
        </is>
      </c>
      <c r="F8" s="3" t="inlineStr">
        <is>
          <t>GM / Chrysler</t>
        </is>
      </c>
      <c r="G8" s="30" t="inlineStr">
        <is>
          <t>Salto de voltaje normal — no confundir con falla</t>
        </is>
      </c>
    </row>
    <row r="9" ht="40" customHeight="1">
      <c r="A9" s="4" t="inlineStr">
        <is>
          <t>80°C (Temperatura operación normal)</t>
        </is>
      </c>
      <c r="B9" s="15" t="inlineStr">
        <is>
          <t>270 – 350 Ω</t>
        </is>
      </c>
      <c r="C9" s="29" t="inlineStr">
        <is>
          <t>~1.0 – 1.2 V</t>
        </is>
      </c>
      <c r="D9" s="4" t="inlineStr">
        <is>
          <t>Motor caliente — operación normal</t>
        </is>
      </c>
      <c r="E9" s="4" t="inlineStr">
        <is>
          <t>En este punto el sistema entra en full closed loop con O2 y lambda</t>
        </is>
      </c>
      <c r="F9" s="4" t="inlineStr">
        <is>
          <t>Universal (NTC)</t>
        </is>
      </c>
      <c r="G9" s="31" t="inlineStr">
        <is>
          <t>P0117 — señal baja (corto a masa)</t>
        </is>
      </c>
    </row>
    <row r="10" ht="40" customHeight="1">
      <c r="A10" s="3" t="inlineStr">
        <is>
          <t>100°C (Caliente — límite superior)</t>
        </is>
      </c>
      <c r="B10" s="14" t="inlineStr">
        <is>
          <t>~180 Ω</t>
        </is>
      </c>
      <c r="C10" s="28" t="inlineStr">
        <is>
          <t>~0.6 V</t>
        </is>
      </c>
      <c r="D10" s="3" t="inlineStr">
        <is>
          <t>Motor al límite normal — cuidado de sobretemperatura</t>
        </is>
      </c>
      <c r="E10" s="3" t="inlineStr">
        <is>
          <t>Si sube de 105°C: revisar termostato, bomba de agua, nivel de anticongelante</t>
        </is>
      </c>
      <c r="F10" s="3" t="inlineStr">
        <is>
          <t>Universal (NTC)</t>
        </is>
      </c>
      <c r="G10" s="30" t="inlineStr">
        <is>
          <t>P0217 sobretemperatura motor</t>
        </is>
      </c>
    </row>
    <row r="11" ht="40" customHeight="1">
      <c r="A11" s="4" t="inlineStr">
        <is>
          <t>120°C (Sobretemperatura)</t>
        </is>
      </c>
      <c r="B11" s="15" t="inlineStr">
        <is>
          <t>~100 Ω</t>
        </is>
      </c>
      <c r="C11" s="29" t="inlineStr">
        <is>
          <t>~0.3 V</t>
        </is>
      </c>
      <c r="D11" s="4" t="inlineStr">
        <is>
          <t>Sobretemperatura — riesgo de daño</t>
        </is>
      </c>
      <c r="E11" s="4" t="inlineStr">
        <is>
          <t>ECU activa modo de protección; reduce potencia; apagar motor</t>
        </is>
      </c>
      <c r="F11" s="4" t="inlineStr">
        <is>
          <t>Universal (NTC)</t>
        </is>
      </c>
      <c r="G11" s="31" t="inlineStr">
        <is>
          <t>P0217 / Testigo de temperatura encendido</t>
        </is>
      </c>
    </row>
    <row r="12" ht="40" customHeight="1">
      <c r="A12" s="11" t="n"/>
      <c r="B12" s="11" t="n"/>
      <c r="C12" s="11" t="n"/>
      <c r="D12" s="11" t="n"/>
      <c r="E12" s="11" t="n"/>
      <c r="F12" s="11" t="n"/>
      <c r="G12" s="11" t="n"/>
    </row>
    <row r="13" ht="40" customHeight="1">
      <c r="A13" s="1" t="inlineStr">
        <is>
          <t>SENSOR MAF (Flujo de Aire) — Analógico vs Frecuencia</t>
        </is>
      </c>
    </row>
    <row r="14" ht="40" customHeight="1">
      <c r="A14" s="2" t="inlineStr">
        <is>
          <t>Tecnología MAF</t>
        </is>
      </c>
      <c r="B14" s="2" t="inlineStr">
        <is>
          <t>Condición</t>
        </is>
      </c>
      <c r="C14" s="2" t="inlineStr">
        <is>
          <t>Valor Analógico (V)</t>
        </is>
      </c>
      <c r="D14" s="2" t="inlineStr">
        <is>
          <t>Valor Frecuencia (Hz)</t>
        </is>
      </c>
      <c r="E14" s="2" t="inlineStr">
        <is>
          <t>Flujo Masa (g/s)</t>
        </is>
      </c>
      <c r="F14" s="2" t="inlineStr">
        <is>
          <t>Marca Ejemplo</t>
        </is>
      </c>
      <c r="G14" s="2" t="inlineStr">
        <is>
          <t>Diagnóstico / Nota</t>
        </is>
      </c>
    </row>
    <row r="15" ht="40" customHeight="1">
      <c r="A15" s="9" t="inlineStr">
        <is>
          <t>Analógico (Voltaje Variable)</t>
        </is>
      </c>
      <c r="B15" s="3" t="inlineStr">
        <is>
          <t>Ralentí</t>
        </is>
      </c>
      <c r="C15" s="14" t="inlineStr">
        <is>
          <t>0.6V – 1.2V</t>
        </is>
      </c>
      <c r="D15" s="14" t="inlineStr">
        <is>
          <t>N/A</t>
        </is>
      </c>
      <c r="E15" s="14" t="inlineStr">
        <is>
          <t>≈ Litros de motor (2.0L = 2.0-2.5 g/s)</t>
        </is>
      </c>
      <c r="F15" s="3" t="inlineStr">
        <is>
          <t>Toyota, Ford (antiguos)</t>
        </is>
      </c>
      <c r="G15" s="3" t="inlineStr">
        <is>
          <t>Sin subida brusca al acelerar = MAF sucio o dañado; probar con osciloscopio</t>
        </is>
      </c>
    </row>
    <row r="16" ht="40" customHeight="1">
      <c r="A16" s="10" t="inlineStr">
        <is>
          <t>Analógico (Voltaje Variable)</t>
        </is>
      </c>
      <c r="B16" s="4" t="inlineStr">
        <is>
          <t>Aceleración media</t>
        </is>
      </c>
      <c r="C16" s="15" t="inlineStr">
        <is>
          <t>2.0V – 3.0V</t>
        </is>
      </c>
      <c r="D16" s="15" t="inlineStr">
        <is>
          <t>N/A</t>
        </is>
      </c>
      <c r="E16" s="15" t="inlineStr">
        <is>
          <t>5 – 15 g/s (según motor)</t>
        </is>
      </c>
      <c r="F16" s="4" t="inlineStr">
        <is>
          <t>Toyota, Ford (antiguos)</t>
        </is>
      </c>
      <c r="G16" s="4" t="inlineStr">
        <is>
          <t>Subida debe ser instantánea; caída antes de subir = fuga de admisión post-MAF</t>
        </is>
      </c>
    </row>
    <row r="17" ht="40" customHeight="1">
      <c r="A17" s="9" t="inlineStr">
        <is>
          <t>Analógico (Voltaje Variable)</t>
        </is>
      </c>
      <c r="B17" s="3" t="inlineStr">
        <is>
          <t>WOT (Plena carga)</t>
        </is>
      </c>
      <c r="C17" s="14" t="inlineStr">
        <is>
          <t>4.0V – 4.8V</t>
        </is>
      </c>
      <c r="D17" s="14" t="inlineStr">
        <is>
          <t>N/A</t>
        </is>
      </c>
      <c r="E17" s="14" t="inlineStr">
        <is>
          <t>20 – 80 g/s (según motor y cilindrada)</t>
        </is>
      </c>
      <c r="F17" s="3" t="inlineStr">
        <is>
          <t>Toyota, Ford (antiguos)</t>
        </is>
      </c>
      <c r="G17" s="3" t="inlineStr">
        <is>
          <t>Máximo cerca de 4.5V; si llega a 5V = saturación de sensor o sensor subfluido</t>
        </is>
      </c>
    </row>
    <row r="18" ht="40" customHeight="1">
      <c r="A18" s="10" t="inlineStr">
        <is>
          <t>Digital — Frecuencia</t>
        </is>
      </c>
      <c r="B18" s="4" t="inlineStr">
        <is>
          <t>Ralentí</t>
        </is>
      </c>
      <c r="C18" s="15" t="inlineStr">
        <is>
          <t>N/A</t>
        </is>
      </c>
      <c r="D18" s="15" t="inlineStr">
        <is>
          <t>2,000 – 3,000 Hz</t>
        </is>
      </c>
      <c r="E18" s="15" t="inlineStr">
        <is>
          <t>2.0 – 4.0 g/s</t>
        </is>
      </c>
      <c r="F18" s="4" t="inlineStr">
        <is>
          <t>GM (Silverado, Cruze), VAG modernos</t>
        </is>
      </c>
      <c r="G18" s="4" t="inlineStr">
        <is>
          <t>Medir con osciloscopio o multímetro en modo frecuencia; voltímetro no funciona aquí</t>
        </is>
      </c>
    </row>
    <row r="19" ht="40" customHeight="1">
      <c r="A19" s="9" t="inlineStr">
        <is>
          <t>Digital — Frecuencia</t>
        </is>
      </c>
      <c r="B19" s="3" t="inlineStr">
        <is>
          <t>Aceleración media</t>
        </is>
      </c>
      <c r="C19" s="14" t="inlineStr">
        <is>
          <t>N/A</t>
        </is>
      </c>
      <c r="D19" s="14" t="inlineStr">
        <is>
          <t>4,000 – 6,000 Hz</t>
        </is>
      </c>
      <c r="E19" s="14" t="inlineStr">
        <is>
          <t>8 – 20 g/s (aprox)</t>
        </is>
      </c>
      <c r="F19" s="3" t="inlineStr">
        <is>
          <t>GM, VAG</t>
        </is>
      </c>
      <c r="G19" s="3" t="inlineStr">
        <is>
          <t>Frecuencia debe subir suave y proporcional; saltos = interferencia o MAF dañado</t>
        </is>
      </c>
    </row>
    <row r="20" ht="40" customHeight="1">
      <c r="A20" s="10" t="inlineStr">
        <is>
          <t>Digital — Frecuencia</t>
        </is>
      </c>
      <c r="B20" s="4" t="inlineStr">
        <is>
          <t>WOT (Plena carga)</t>
        </is>
      </c>
      <c r="C20" s="15" t="inlineStr">
        <is>
          <t>N/A</t>
        </is>
      </c>
      <c r="D20" s="15" t="inlineStr">
        <is>
          <t>8,000 – 10,000 Hz</t>
        </is>
      </c>
      <c r="E20" s="15" t="inlineStr">
        <is>
          <t>30 – 80 g/s</t>
        </is>
      </c>
      <c r="F20" s="4" t="inlineStr">
        <is>
          <t>GM, VAG</t>
        </is>
      </c>
      <c r="G20" s="4" t="inlineStr">
        <is>
          <t>Si no sube de 6000 Hz en WOT = filtro sucio o restricción en admisión</t>
        </is>
      </c>
    </row>
    <row r="21" ht="40" customHeight="1">
      <c r="A21" s="9" t="inlineStr">
        <is>
          <t>Referencia Nissan Altima (QR25 2.5L)</t>
        </is>
      </c>
      <c r="B21" s="3" t="inlineStr">
        <is>
          <t>Ralentí</t>
        </is>
      </c>
      <c r="C21" s="14" t="inlineStr">
        <is>
          <t>—</t>
        </is>
      </c>
      <c r="D21" s="14" t="inlineStr">
        <is>
          <t>—</t>
        </is>
      </c>
      <c r="E21" s="14" t="inlineStr">
        <is>
          <t>2.0 – 6.0 g/s</t>
        </is>
      </c>
      <c r="F21" s="3" t="inlineStr">
        <is>
          <t>Nissan Altima 2007-2012</t>
        </is>
      </c>
      <c r="G21" s="3" t="inlineStr">
        <is>
          <t>Valor de referencia específico; fuera de este rango = revisar filtro, MAF, fugas</t>
        </is>
      </c>
    </row>
    <row r="22" ht="40" customHeight="1">
      <c r="A22" s="11" t="n"/>
      <c r="B22" s="11" t="n"/>
      <c r="C22" s="11" t="n"/>
      <c r="D22" s="11" t="n"/>
      <c r="E22" s="11" t="n"/>
      <c r="F22" s="11" t="n"/>
      <c r="G22" s="11" t="n"/>
    </row>
    <row r="23" ht="40" customHeight="1">
      <c r="A23" s="1" t="inlineStr">
        <is>
          <t>SENSOR O2 / LAMBDA — Banda Estrecha (Zirconio) y Banda Ancha (A/F Wideband)</t>
        </is>
      </c>
    </row>
    <row r="24" ht="40" customHeight="1">
      <c r="A24" s="2" t="inlineStr">
        <is>
          <t>Tipo</t>
        </is>
      </c>
      <c r="B24" s="2" t="inlineStr">
        <is>
          <t>Condición de Mezcla</t>
        </is>
      </c>
      <c r="C24" s="2" t="inlineStr">
        <is>
          <t>Voltaje / Corriente</t>
        </is>
      </c>
      <c r="D24" s="2" t="inlineStr">
        <is>
          <t>Frecuencia de Ciclo</t>
        </is>
      </c>
      <c r="E24" s="2" t="inlineStr">
        <is>
          <t>Resistencia Calefactor</t>
        </is>
      </c>
      <c r="F24" s="2" t="inlineStr">
        <is>
          <t>Marca Común</t>
        </is>
      </c>
      <c r="G24" s="2" t="inlineStr">
        <is>
          <t>Advertencia / Diagnóstico</t>
        </is>
      </c>
    </row>
    <row r="25" ht="40" customHeight="1">
      <c r="A25" s="9" t="inlineStr">
        <is>
          <t>Zirconio Narrowband</t>
        </is>
      </c>
      <c r="B25" s="3" t="inlineStr">
        <is>
          <t>Mezcla Rica (Lambda &lt; 1.0)</t>
        </is>
      </c>
      <c r="C25" s="14" t="inlineStr">
        <is>
          <t>0.7V – 0.9V</t>
        </is>
      </c>
      <c r="D25" s="3" t="inlineStr">
        <is>
          <t>0.5 – 2 Hz en closed loop</t>
        </is>
      </c>
      <c r="E25" s="3" t="inlineStr">
        <is>
          <t>10 – 16 Ω (calefactor 2 cables)</t>
        </is>
      </c>
      <c r="F25" s="3" t="inlineStr">
        <is>
          <t>Toyota, Ford, VW, GM, Nissan (pre-2005)</t>
        </is>
      </c>
      <c r="G25" s="3" t="inlineStr">
        <is>
          <t>Si voltaje fijo en 0.9V: mezcla permanentemente rica o sensor contaminado por aceite</t>
        </is>
      </c>
    </row>
    <row r="26" ht="40" customHeight="1">
      <c r="A26" s="10" t="inlineStr">
        <is>
          <t>Zirconio Narrowband</t>
        </is>
      </c>
      <c r="B26" s="4" t="inlineStr">
        <is>
          <t>Mezcla Estequiométrica (Lambda 1.0)</t>
        </is>
      </c>
      <c r="C26" s="15" t="inlineStr">
        <is>
          <t>~0.45V</t>
        </is>
      </c>
      <c r="D26" s="4" t="inlineStr">
        <is>
          <t>—</t>
        </is>
      </c>
      <c r="E26" s="4" t="inlineStr">
        <is>
          <t>10 – 16 Ω</t>
        </is>
      </c>
      <c r="F26" s="4" t="inlineStr">
        <is>
          <t>Universal</t>
        </is>
      </c>
      <c r="G26" s="4" t="inlineStr">
        <is>
          <t>Punto de cruce λ=1; la ECU usa este punto como referencia de control</t>
        </is>
      </c>
    </row>
    <row r="27" ht="40" customHeight="1">
      <c r="A27" s="9" t="inlineStr">
        <is>
          <t>Zirconio Narrowband</t>
        </is>
      </c>
      <c r="B27" s="3" t="inlineStr">
        <is>
          <t>Mezcla Pobre (Lambda &gt; 1.0)</t>
        </is>
      </c>
      <c r="C27" s="14" t="inlineStr">
        <is>
          <t>0.1V – 0.2V</t>
        </is>
      </c>
      <c r="D27" s="3" t="inlineStr">
        <is>
          <t>0.5 – 2 Hz en closed loop</t>
        </is>
      </c>
      <c r="E27" s="3" t="inlineStr">
        <is>
          <t>10 – 16 Ω</t>
        </is>
      </c>
      <c r="F27" s="3" t="inlineStr">
        <is>
          <t>Universal</t>
        </is>
      </c>
      <c r="G27" s="3" t="inlineStr">
        <is>
          <t>Si voltaje fijo en 0.1V: mezcla permanentemente pobre o sensor dañado</t>
        </is>
      </c>
    </row>
    <row r="28" ht="40" customHeight="1">
      <c r="A28" s="10" t="inlineStr">
        <is>
          <t>Zirconio Narrowband</t>
        </is>
      </c>
      <c r="B28" s="4" t="inlineStr">
        <is>
          <t>Sensor no calentado (frío)</t>
        </is>
      </c>
      <c r="C28" s="15" t="inlineStr">
        <is>
          <t>&lt;0.45V estable</t>
        </is>
      </c>
      <c r="D28" s="4" t="inlineStr">
        <is>
          <t>—</t>
        </is>
      </c>
      <c r="E28" s="4" t="inlineStr">
        <is>
          <t>10 – 16 Ω</t>
        </is>
      </c>
      <c r="F28" s="4" t="inlineStr">
        <is>
          <t>Universal</t>
        </is>
      </c>
      <c r="G28" s="4" t="inlineStr">
        <is>
          <t>La ECU ignora el sensor hasta que temperatura de calefactor estabiliza señal</t>
        </is>
      </c>
    </row>
    <row r="29" ht="40" customHeight="1">
      <c r="A29" s="9" t="inlineStr">
        <is>
          <t>A/F Sensor Wideband (Toyota/Nissan)</t>
        </is>
      </c>
      <c r="B29" s="3" t="inlineStr">
        <is>
          <t>Mezcla Rica</t>
        </is>
      </c>
      <c r="C29" s="14" t="inlineStr">
        <is>
          <t>&lt;3.3V en scanner (corriente negativa)</t>
        </is>
      </c>
      <c r="D29" s="3" t="inlineStr">
        <is>
          <t>Control continuo — sin ciclos</t>
        </is>
      </c>
      <c r="E29" s="3" t="inlineStr">
        <is>
          <t>0.8 – 1.4 Ω (muy baja — NO aplicar 12V directos)</t>
        </is>
      </c>
      <c r="F29" s="3" t="inlineStr">
        <is>
          <t>Toyota RAV4, Hilux, Nissan Altima (2005+)</t>
        </is>
      </c>
      <c r="G29" s="30" t="inlineStr">
        <is>
          <t>PELIGRO: 12V directos destruyen el elemento en 1 segundo — probar con multímetro 200mA max</t>
        </is>
      </c>
    </row>
    <row r="30" ht="40" customHeight="1">
      <c r="A30" s="10" t="inlineStr">
        <is>
          <t>A/F Sensor Wideband (Toyota/Nissan)</t>
        </is>
      </c>
      <c r="B30" s="4" t="inlineStr">
        <is>
          <t>Mezcla Pobre</t>
        </is>
      </c>
      <c r="C30" s="15" t="inlineStr">
        <is>
          <t>3.3V en scanner (corriente positiva)</t>
        </is>
      </c>
      <c r="D30" s="4" t="inlineStr">
        <is>
          <t>Control continuo</t>
        </is>
      </c>
      <c r="E30" s="4" t="inlineStr">
        <is>
          <t>0.8 – 1.4 Ω</t>
        </is>
      </c>
      <c r="F30" s="4" t="inlineStr">
        <is>
          <t>Toyota, Nissan</t>
        </is>
      </c>
      <c r="G30" s="4" t="inlineStr">
        <is>
          <t>La ECU mantiene 3.3V de referencia en el circuito; corriente varía con mezcla</t>
        </is>
      </c>
    </row>
    <row r="31" ht="40" customHeight="1">
      <c r="A31" s="9" t="inlineStr">
        <is>
          <t>A/F Sensor Wideband (Toyota/Nissan)</t>
        </is>
      </c>
      <c r="B31" s="3" t="inlineStr">
        <is>
          <t>Estequiométrico (Lambda 1.0)</t>
        </is>
      </c>
      <c r="C31" s="14" t="inlineStr">
        <is>
          <t>Exactamente 3.3V</t>
        </is>
      </c>
      <c r="D31" s="3" t="inlineStr">
        <is>
          <t>—</t>
        </is>
      </c>
      <c r="E31" s="3" t="inlineStr">
        <is>
          <t>0.8 – 1.4 Ω</t>
        </is>
      </c>
      <c r="F31" s="3" t="inlineStr">
        <is>
          <t>Toyota, Nissan</t>
        </is>
      </c>
      <c r="G31" s="3" t="inlineStr">
        <is>
          <t>3.3V = equilibrio; corriente nula = mezcla perfecta λ=1</t>
        </is>
      </c>
    </row>
    <row r="32" ht="40" customHeight="1">
      <c r="A32" s="11" t="n"/>
      <c r="B32" s="11" t="n"/>
      <c r="C32" s="11" t="n"/>
      <c r="D32" s="11" t="n"/>
      <c r="E32" s="11" t="n"/>
      <c r="F32" s="11" t="n"/>
      <c r="G32" s="11" t="n"/>
    </row>
    <row r="33" ht="40" customHeight="1">
      <c r="A33" s="1" t="inlineStr">
        <is>
          <t>BOBINAS DE ENCENDIDO — Resistencia Primaria y Secundaria por Tipo</t>
        </is>
      </c>
    </row>
    <row r="34" ht="40" customHeight="1">
      <c r="A34" s="2" t="inlineStr">
        <is>
          <t>Tipo de Bobina</t>
        </is>
      </c>
      <c r="B34" s="2" t="inlineStr">
        <is>
          <t>Resistencia Primaria</t>
        </is>
      </c>
      <c r="C34" s="2" t="inlineStr">
        <is>
          <t>Resistencia Secundaria</t>
        </is>
      </c>
      <c r="D34" s="2" t="inlineStr">
        <is>
          <t>Voltaje de Salida Típico</t>
        </is>
      </c>
      <c r="E34" s="2" t="inlineStr">
        <is>
          <t>Marca Común</t>
        </is>
      </c>
      <c r="F34" s="2" t="inlineStr">
        <is>
          <t>Falla Común</t>
        </is>
      </c>
      <c r="G34" s="2" t="inlineStr">
        <is>
          <t>Diagnóstico</t>
        </is>
      </c>
    </row>
    <row r="35" ht="40" customHeight="1">
      <c r="A35" s="9" t="inlineStr">
        <is>
          <t>COP — Tipo Lápiz (Coil-On-Plug)</t>
        </is>
      </c>
      <c r="B35" s="14" t="inlineStr">
        <is>
          <t>0.3 – 1.0 Ω</t>
        </is>
      </c>
      <c r="C35" s="14" t="inlineStr">
        <is>
          <t>8,000 – 15,000 Ω (8-15 kΩ)</t>
        </is>
      </c>
      <c r="D35" s="3" t="inlineStr">
        <is>
          <t>25,000 – 40,000 V (25-40 kV)</t>
        </is>
      </c>
      <c r="E35" s="3" t="inlineStr">
        <is>
          <t>Toyota, Honda, Ford EcoBoost, VW TSI</t>
        </is>
      </c>
      <c r="F35" s="3" t="inlineStr">
        <is>
          <t>Corto en secundaria por bujía fouled; primaria quemada por pulso invertido</t>
        </is>
      </c>
      <c r="G35" s="3" t="inlineStr">
        <is>
          <t>Primaria: medir con multímetro. Secundaria: osciloscopio o inductancia ≠ especificación</t>
        </is>
      </c>
    </row>
    <row r="36" ht="40" customHeight="1">
      <c r="A36" s="10" t="inlineStr">
        <is>
          <t>Bobina Distribuidor (DIS clásico)</t>
        </is>
      </c>
      <c r="B36" s="15" t="inlineStr">
        <is>
          <t>0.5 – 2.0 Ω</t>
        </is>
      </c>
      <c r="C36" s="15" t="inlineStr">
        <is>
          <t>8,000 – 20,000 Ω</t>
        </is>
      </c>
      <c r="D36" s="4" t="inlineStr">
        <is>
          <t>20,000 – 35,000 V</t>
        </is>
      </c>
      <c r="E36" s="4" t="inlineStr">
        <is>
          <t>Toyota 4A/5A, Honda B/D series, VW ABA</t>
        </is>
      </c>
      <c r="F36" s="4" t="inlineStr">
        <is>
          <t>Arco en tapa del distribuidor o rotor; corte en carga alta</t>
        </is>
      </c>
      <c r="G36" s="4" t="inlineStr">
        <is>
          <t>Sustituir con bobina conocida buena para confirmar fallo</t>
        </is>
      </c>
    </row>
    <row r="37" ht="40" customHeight="1">
      <c r="A37" s="9" t="inlineStr">
        <is>
          <t>Bobina EFI Saturada (alta impedancia)</t>
        </is>
      </c>
      <c r="B37" s="14" t="inlineStr">
        <is>
          <t>0.5 – 1.5 Ω</t>
        </is>
      </c>
      <c r="C37" s="14" t="inlineStr">
        <is>
          <t>10,000 – 20,000 Ω</t>
        </is>
      </c>
      <c r="D37" s="3" t="inlineStr">
        <is>
          <t>25,000 – 45,000 V</t>
        </is>
      </c>
      <c r="E37" s="3" t="inlineStr">
        <is>
          <t>Bosch, Denso — sistemas de calle</t>
        </is>
      </c>
      <c r="F37" s="3" t="inlineStr">
        <is>
          <t>Si primaria &lt;0.3Ω: cortocircuito → daña transistor de ignición en ECU</t>
        </is>
      </c>
      <c r="G37" s="3" t="inlineStr">
        <is>
          <t>Medir con ECU desconectada para no dañar driver de ignición</t>
        </is>
      </c>
    </row>
    <row r="38" ht="40" customHeight="1">
      <c r="A38" s="10" t="inlineStr">
        <is>
          <t>Bobina Peak &amp; Hold (baja impedancia)</t>
        </is>
      </c>
      <c r="B38" s="15" t="inlineStr">
        <is>
          <t>0.3 – 0.8 Ω</t>
        </is>
      </c>
      <c r="C38" s="15" t="inlineStr">
        <is>
          <t>5,000 – 10,000 Ω</t>
        </is>
      </c>
      <c r="D38" s="4" t="inlineStr">
        <is>
          <t>20,000 – 35,000 V</t>
        </is>
      </c>
      <c r="E38" s="4" t="inlineStr">
        <is>
          <t>Sistemas de alto rendimiento, TBI antiguos GM</t>
        </is>
      </c>
      <c r="F38" s="4" t="inlineStr">
        <is>
          <t>Requiere driver especial P&amp;H en ECU — no intercambiar con saturadas</t>
        </is>
      </c>
      <c r="G38" s="4" t="inlineStr">
        <is>
          <t>Driver en ECU genera corriente pico luego retención; sin driver correcto = quema bobina</t>
        </is>
      </c>
    </row>
    <row r="39" ht="40" customHeight="1">
      <c r="A39" s="9" t="inlineStr">
        <is>
          <t>Bobina Ford/Mazda (con transistor interno)</t>
        </is>
      </c>
      <c r="B39" s="14" t="inlineStr">
        <is>
          <t>1.0 – 3.0 Ω (incluye transistor)</t>
        </is>
      </c>
      <c r="C39" s="14" t="inlineStr">
        <is>
          <t>8,000 – 16,000 Ω</t>
        </is>
      </c>
      <c r="D39" s="3" t="inlineStr">
        <is>
          <t>25,000 – 40,000 V</t>
        </is>
      </c>
      <c r="E39" s="3" t="inlineStr">
        <is>
          <t>Ford Focus ST, Mazda 3/6 SkyActiv</t>
        </is>
      </c>
      <c r="F39" s="3" t="inlineStr">
        <is>
          <t>Transistor interno en corto destruye driver PCM si no se detecta a tiempo</t>
        </is>
      </c>
      <c r="G39" s="30" t="inlineStr">
        <is>
          <t>Medir pines del transistor antes de reemplazar PCM; una bobina en corto = PCM dañado</t>
        </is>
      </c>
    </row>
    <row r="40" ht="40" customHeight="1">
      <c r="A40" s="11" t="n"/>
      <c r="B40" s="11" t="n"/>
      <c r="C40" s="11" t="n"/>
      <c r="D40" s="11" t="n"/>
      <c r="E40" s="11" t="n"/>
      <c r="F40" s="11" t="n"/>
      <c r="G40" s="11" t="n"/>
    </row>
    <row r="41" ht="40" customHeight="1"/>
    <row r="42" ht="40" customHeight="1"/>
    <row r="43" ht="40" customHeight="1"/>
    <row r="44" ht="40" customHeight="1"/>
    <row r="45" ht="40" customHeight="1"/>
    <row r="46" ht="40" customHeight="1"/>
    <row r="47" ht="40" customHeight="1"/>
    <row r="48" ht="40" customHeight="1"/>
    <row r="49" ht="40" customHeight="1"/>
    <row r="50" ht="40" customHeight="1"/>
    <row r="51" ht="40" customHeight="1"/>
    <row r="52" ht="40" customHeight="1"/>
    <row r="53" ht="40" customHeight="1"/>
    <row r="54" ht="40" customHeight="1"/>
    <row r="55" ht="40" customHeight="1"/>
    <row r="56" ht="40" customHeight="1"/>
    <row r="57" ht="40" customHeight="1"/>
    <row r="58" ht="40" customHeight="1"/>
    <row r="59" ht="40" customHeight="1"/>
    <row r="60" ht="40" customHeight="1"/>
    <row r="61" ht="40" customHeight="1"/>
    <row r="62" ht="40" customHeight="1"/>
    <row r="63" ht="40" customHeight="1"/>
    <row r="64" ht="40" customHeight="1"/>
    <row r="65" ht="40" customHeight="1"/>
    <row r="66" ht="40" customHeight="1"/>
    <row r="67" ht="40" customHeight="1"/>
    <row r="68" ht="40" customHeight="1"/>
    <row r="69" ht="40" customHeight="1"/>
    <row r="70" ht="40" customHeight="1"/>
    <row r="71" ht="40" customHeight="1"/>
    <row r="72" ht="40" customHeight="1"/>
    <row r="73" ht="40" customHeight="1"/>
    <row r="74" ht="40" customHeight="1"/>
    <row r="75" ht="40" customHeight="1"/>
    <row r="76" ht="40" customHeight="1"/>
    <row r="77" ht="40" customHeight="1"/>
    <row r="78" ht="40" customHeight="1"/>
    <row r="79" ht="40" customHeight="1"/>
    <row r="80" ht="40" customHeight="1"/>
    <row r="81" ht="40" customHeight="1"/>
    <row r="82" ht="40" customHeight="1"/>
    <row r="83" ht="40" customHeight="1"/>
    <row r="84" ht="40" customHeight="1"/>
    <row r="85" ht="40" customHeight="1"/>
    <row r="86" ht="40" customHeight="1"/>
    <row r="87" ht="40" customHeight="1"/>
    <row r="88" ht="40" customHeight="1"/>
    <row r="89" ht="40" customHeight="1"/>
    <row r="90" ht="40" customHeight="1"/>
    <row r="91" ht="40" customHeight="1"/>
    <row r="92" ht="40" customHeight="1"/>
    <row r="93" ht="40" customHeight="1"/>
    <row r="94" ht="40" customHeight="1"/>
    <row r="95" ht="40" customHeight="1"/>
    <row r="96" ht="40" customHeight="1"/>
    <row r="97" ht="40" customHeight="1"/>
    <row r="98" ht="40" customHeight="1"/>
    <row r="99" ht="40" customHeight="1"/>
    <row r="100" ht="40" customHeight="1"/>
    <row r="101" ht="40" customHeight="1"/>
    <row r="102" ht="40" customHeight="1"/>
    <row r="103" ht="40" customHeight="1"/>
    <row r="104" ht="40" customHeight="1"/>
    <row r="105" ht="40" customHeight="1"/>
    <row r="106" ht="40" customHeight="1"/>
    <row r="107" ht="40" customHeight="1"/>
    <row r="108" ht="40" customHeight="1"/>
    <row r="109" ht="40" customHeight="1"/>
    <row r="110" ht="40" customHeight="1"/>
    <row r="111" ht="40" customHeight="1"/>
    <row r="112" ht="40" customHeight="1"/>
    <row r="113" ht="40" customHeight="1"/>
    <row r="114" ht="40" customHeight="1"/>
    <row r="115" ht="40" customHeight="1"/>
    <row r="116" ht="40" customHeight="1"/>
    <row r="117" ht="40" customHeight="1"/>
    <row r="118" ht="40" customHeight="1"/>
    <row r="119" ht="40" customHeight="1"/>
    <row r="120" ht="40" customHeight="1"/>
    <row r="121" ht="40" customHeight="1"/>
    <row r="122" ht="40" customHeight="1"/>
    <row r="123" ht="40" customHeight="1"/>
    <row r="124" ht="40" customHeight="1"/>
    <row r="125" ht="40" customHeight="1"/>
    <row r="126" ht="40" customHeight="1"/>
    <row r="127" ht="40" customHeight="1"/>
    <row r="128" ht="40" customHeight="1"/>
    <row r="129" ht="40" customHeight="1"/>
    <row r="130" ht="40" customHeight="1"/>
    <row r="131" ht="40" customHeight="1"/>
    <row r="132" ht="40" customHeight="1"/>
    <row r="133" ht="40" customHeight="1"/>
    <row r="134" ht="40" customHeight="1"/>
    <row r="135" ht="40" customHeight="1"/>
    <row r="136" ht="40" customHeight="1"/>
    <row r="137" ht="40" customHeight="1"/>
    <row r="138" ht="40" customHeight="1"/>
    <row r="139" ht="40" customHeight="1"/>
    <row r="140" ht="40" customHeight="1"/>
    <row r="141" ht="40" customHeight="1"/>
    <row r="142" ht="40" customHeight="1"/>
    <row r="143" ht="40" customHeight="1"/>
    <row r="144" ht="40" customHeight="1"/>
    <row r="145" ht="40" customHeight="1"/>
    <row r="146" ht="40" customHeight="1"/>
    <row r="147" ht="40" customHeight="1"/>
    <row r="148" ht="40" customHeight="1"/>
    <row r="149" ht="40" customHeight="1"/>
    <row r="150" ht="40" customHeight="1"/>
    <row r="151" ht="40" customHeight="1"/>
    <row r="152" ht="40" customHeight="1"/>
    <row r="153" ht="40" customHeight="1"/>
    <row r="154" ht="40" customHeight="1"/>
    <row r="155" ht="40" customHeight="1"/>
    <row r="156" ht="40" customHeight="1"/>
    <row r="157" ht="40" customHeight="1"/>
    <row r="158" ht="40" customHeight="1"/>
    <row r="159" ht="40" customHeight="1"/>
    <row r="160" ht="40" customHeight="1"/>
    <row r="161" ht="40" customHeight="1"/>
    <row r="162" ht="40" customHeight="1"/>
    <row r="163" ht="40" customHeight="1"/>
    <row r="164" ht="40" customHeight="1"/>
    <row r="165" ht="40" customHeight="1"/>
    <row r="166" ht="40" customHeight="1"/>
    <row r="167" ht="40" customHeight="1"/>
    <row r="168" ht="40" customHeight="1"/>
    <row r="169" ht="40" customHeight="1"/>
    <row r="170" ht="40" customHeight="1"/>
    <row r="171" ht="40" customHeight="1"/>
    <row r="172" ht="40" customHeight="1"/>
    <row r="173" ht="40" customHeight="1"/>
    <row r="174" ht="40" customHeight="1"/>
    <row r="175" ht="40" customHeight="1"/>
    <row r="176" ht="40" customHeight="1"/>
    <row r="177" ht="40" customHeight="1"/>
    <row r="178" ht="40" customHeight="1"/>
    <row r="179" ht="40" customHeight="1"/>
    <row r="180" ht="40" customHeight="1"/>
    <row r="181" ht="40" customHeight="1"/>
    <row r="182" ht="40" customHeight="1"/>
    <row r="183" ht="40" customHeight="1"/>
    <row r="184" ht="40" customHeight="1"/>
    <row r="185" ht="40" customHeight="1"/>
    <row r="186" ht="40" customHeight="1"/>
    <row r="187" ht="40" customHeight="1"/>
    <row r="188" ht="40" customHeight="1"/>
    <row r="189" ht="40" customHeight="1"/>
    <row r="190" ht="40" customHeight="1"/>
    <row r="191" ht="40" customHeight="1"/>
    <row r="192" ht="40" customHeight="1"/>
    <row r="193" ht="40" customHeight="1"/>
    <row r="194" ht="40" customHeight="1"/>
    <row r="195" ht="40" customHeight="1"/>
    <row r="196" ht="40" customHeight="1"/>
    <row r="197" ht="40" customHeight="1"/>
    <row r="198" ht="40" customHeight="1"/>
    <row r="199" ht="40" customHeight="1"/>
    <row r="200" ht="40" customHeight="1"/>
    <row r="201" ht="40" customHeight="1"/>
    <row r="202" ht="40" customHeight="1"/>
    <row r="203" ht="40" customHeight="1"/>
    <row r="204" ht="40" customHeight="1"/>
    <row r="205" ht="40" customHeight="1"/>
    <row r="206" ht="40" customHeight="1"/>
    <row r="207" ht="40" customHeight="1"/>
    <row r="208" ht="40" customHeight="1"/>
    <row r="209" ht="40" customHeight="1"/>
    <row r="210" ht="40" customHeight="1"/>
    <row r="211" ht="40" customHeight="1"/>
    <row r="212" ht="40" customHeight="1"/>
    <row r="213" ht="40" customHeight="1"/>
    <row r="214" ht="40" customHeight="1"/>
    <row r="215" ht="40" customHeight="1"/>
    <row r="216" ht="40" customHeight="1"/>
    <row r="217" ht="40" customHeight="1"/>
    <row r="218" ht="40" customHeight="1"/>
    <row r="219" ht="40" customHeight="1"/>
    <row r="220" ht="40" customHeight="1"/>
    <row r="221" ht="40" customHeight="1"/>
    <row r="222" ht="40" customHeight="1"/>
    <row r="223" ht="40" customHeight="1"/>
    <row r="224" ht="40" customHeight="1"/>
    <row r="225" ht="40" customHeight="1"/>
    <row r="226" ht="40" customHeight="1"/>
    <row r="227" ht="40" customHeight="1"/>
    <row r="228" ht="40" customHeight="1"/>
    <row r="229" ht="40" customHeight="1"/>
    <row r="230" ht="40" customHeight="1"/>
    <row r="231" ht="40" customHeight="1"/>
    <row r="232" ht="40" customHeight="1"/>
    <row r="233" ht="40" customHeight="1"/>
    <row r="234" ht="40" customHeight="1"/>
    <row r="235" ht="40" customHeight="1"/>
    <row r="236" ht="40" customHeight="1"/>
    <row r="237" ht="40" customHeight="1"/>
    <row r="238" ht="40" customHeight="1"/>
    <row r="239" ht="40" customHeight="1"/>
    <row r="240" ht="40" customHeight="1"/>
    <row r="241" ht="40" customHeight="1"/>
    <row r="242" ht="40" customHeight="1"/>
    <row r="243" ht="40" customHeight="1"/>
    <row r="244" ht="40" customHeight="1"/>
    <row r="245" ht="40" customHeight="1"/>
    <row r="246" ht="40" customHeight="1"/>
    <row r="247" ht="40" customHeight="1"/>
    <row r="248" ht="40" customHeight="1"/>
    <row r="249" ht="40" customHeight="1"/>
    <row r="250" ht="40" customHeight="1"/>
    <row r="251" ht="40" customHeight="1"/>
    <row r="252" ht="40" customHeight="1"/>
    <row r="253" ht="40" customHeight="1"/>
    <row r="254" ht="40" customHeight="1"/>
    <row r="255" ht="40" customHeight="1"/>
    <row r="256" ht="40" customHeight="1"/>
    <row r="257" ht="40" customHeight="1"/>
    <row r="258" ht="40" customHeight="1"/>
    <row r="259" ht="40" customHeight="1"/>
    <row r="260" ht="40" customHeight="1"/>
    <row r="261" ht="40" customHeight="1"/>
    <row r="262" ht="40" customHeight="1"/>
    <row r="263" ht="40" customHeight="1"/>
    <row r="264" ht="40" customHeight="1"/>
    <row r="265" ht="40" customHeight="1"/>
    <row r="266" ht="40" customHeight="1"/>
    <row r="267" ht="40" customHeight="1"/>
    <row r="268" ht="40" customHeight="1"/>
    <row r="269" ht="40" customHeight="1"/>
    <row r="270" ht="40" customHeight="1"/>
    <row r="271" ht="40" customHeight="1"/>
    <row r="272" ht="40" customHeight="1"/>
    <row r="273" ht="40" customHeight="1"/>
    <row r="274" ht="40" customHeight="1"/>
    <row r="275" ht="40" customHeight="1"/>
    <row r="276" ht="40" customHeight="1"/>
    <row r="277" ht="40" customHeight="1"/>
    <row r="278" ht="40" customHeight="1"/>
    <row r="279" ht="40" customHeight="1"/>
    <row r="280" ht="40" customHeight="1"/>
    <row r="281" ht="40" customHeight="1"/>
    <row r="282" ht="40" customHeight="1"/>
    <row r="283" ht="40" customHeight="1"/>
    <row r="284" ht="40" customHeight="1"/>
    <row r="285" ht="40" customHeight="1"/>
    <row r="286" ht="40" customHeight="1"/>
    <row r="287" ht="40" customHeight="1"/>
    <row r="288" ht="40" customHeight="1"/>
    <row r="289" ht="40" customHeight="1"/>
    <row r="290" ht="40" customHeight="1"/>
    <row r="291" ht="40" customHeight="1"/>
    <row r="292" ht="40" customHeight="1"/>
    <row r="293" ht="40" customHeight="1"/>
    <row r="294" ht="40" customHeight="1"/>
    <row r="295" ht="40" customHeight="1"/>
    <row r="296" ht="40" customHeight="1"/>
    <row r="297" ht="40" customHeight="1"/>
    <row r="298" ht="40" customHeight="1"/>
    <row r="299" ht="40" customHeight="1"/>
  </sheetData>
  <mergeCells count="5">
    <mergeCell ref="A13:G13"/>
    <mergeCell ref="A1:G1"/>
    <mergeCell ref="A2:G2"/>
    <mergeCell ref="A33:G33"/>
    <mergeCell ref="A23:G23"/>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14" customWidth="1" min="1" max="1"/>
    <col width="28" customWidth="1" min="2" max="2"/>
    <col width="40" customWidth="1" min="3" max="3"/>
    <col width="30" customWidth="1" min="4" max="4"/>
    <col width="20" customWidth="1" min="5" max="5"/>
    <col width="22" customWidth="1" min="6" max="6"/>
    <col width="44" customWidth="1" min="7" max="7"/>
  </cols>
  <sheetData>
    <row r="1" ht="24" customHeight="1">
      <c r="A1" s="1" t="inlineStr">
        <is>
          <t>MEMORIAS EEPROM EN MÓDULOS DE INMOVILIZADOR + HERRAMIENTAS DE PROGRAMACIÓN</t>
        </is>
      </c>
    </row>
    <row r="2" ht="20" customHeight="1">
      <c r="A2" s="1" t="inlineStr">
        <is>
          <t>CHIPS DE MEMORIA EEPROM — Ubicación en Módulos, Protocolo y Procedimiento</t>
        </is>
      </c>
    </row>
    <row r="3" ht="44" customHeight="1">
      <c r="A3" s="2" t="inlineStr">
        <is>
          <t>Tipo de Chip</t>
        </is>
      </c>
      <c r="B3" s="2" t="inlineStr">
        <is>
          <t>Uso en Módulo</t>
        </is>
      </c>
      <c r="C3" s="2" t="inlineStr">
        <is>
          <t>Protocolo Bus</t>
        </is>
      </c>
      <c r="D3" s="2" t="inlineStr">
        <is>
          <t>Pines Clave</t>
        </is>
      </c>
      <c r="E3" s="2" t="inlineStr">
        <is>
          <t>Notas de Lectura</t>
        </is>
      </c>
      <c r="F3" s="2" t="inlineStr">
        <is>
          <t>Herramienta Recomendada</t>
        </is>
      </c>
      <c r="G3" s="2" t="inlineStr">
        <is>
          <t>Dato Almacenado</t>
        </is>
      </c>
    </row>
    <row r="4" ht="44" customHeight="1">
      <c r="A4" s="16" t="inlineStr">
        <is>
          <t>93C46 / 93C56 / 93C66</t>
        </is>
      </c>
      <c r="B4" s="3" t="inlineStr">
        <is>
          <t>Toyota Inmo (antiguo), Lexus, Honda (módulo inmo), Ford IPC</t>
        </is>
      </c>
      <c r="C4" s="3" t="inlineStr">
        <is>
          <t>Microwire (3 hilos)</t>
        </is>
      </c>
      <c r="D4" s="3" t="inlineStr">
        <is>
          <t>CS=Chip Select, CLK=Clock, DI=Data In, DO=Data Out</t>
        </is>
      </c>
      <c r="E4" s="3" t="inlineStr">
        <is>
          <t>Requiere configurar 8-bit o 16-bit según chip y sistema; sensible a polaridad de pines</t>
        </is>
      </c>
      <c r="F4" s="36" t="inlineStr">
        <is>
          <t>Orange5, VVDI Prog, T300, Xprog</t>
        </is>
      </c>
      <c r="G4" s="3" t="inlineStr">
        <is>
          <t>Datos de llaves registradas; VIN; estado de bloqueo del sistema</t>
        </is>
      </c>
    </row>
    <row r="5" ht="44" customHeight="1">
      <c r="A5" s="17" t="inlineStr">
        <is>
          <t>24C02 / 24C04 / 24C16</t>
        </is>
      </c>
      <c r="B5" s="4" t="inlineStr">
        <is>
          <t>VAG (cluster Immo 3), Fiat, Renault BSI, PSA (módulo confort)</t>
        </is>
      </c>
      <c r="C5" s="4" t="inlineStr">
        <is>
          <t>I2C (2 hilos: SCL/SDA)</t>
        </is>
      </c>
      <c r="D5" s="4" t="inlineStr">
        <is>
          <t>SDA=Datos, SCL=Clock, GND, VCC</t>
        </is>
      </c>
      <c r="E5" s="4" t="inlineStr">
        <is>
          <t>Fácil lectura in-circuit con pinza SOIC8 sin desoldadura; más lento que SPI</t>
        </is>
      </c>
      <c r="F5" s="37" t="inlineStr">
        <is>
          <t>VVDI Prog, Orange5, Autel XP400</t>
        </is>
      </c>
      <c r="G5" s="4" t="inlineStr">
        <is>
          <t>PIN de 4-5 dígitos, Component Security parcial, codificación de módulo</t>
        </is>
      </c>
    </row>
    <row r="6" ht="44" customHeight="1">
      <c r="A6" s="16" t="inlineStr">
        <is>
          <t>95040 / 95080 / 95160 / 95320</t>
        </is>
      </c>
      <c r="B6" s="3" t="inlineStr">
        <is>
          <t>VAG ECU Motor (EDC15/ME7), GM PCM, Ford PCM</t>
        </is>
      </c>
      <c r="C6" s="3" t="inlineStr">
        <is>
          <t>SPI (4 hilos)</t>
        </is>
      </c>
      <c r="D6" s="3" t="inlineStr">
        <is>
          <t>MOSI, MISO, SCK, CS</t>
        </is>
      </c>
      <c r="E6" s="3" t="inlineStr">
        <is>
          <t>Alta velocidad; a menudo requiere desoldadura del chip; muy común en ECUs Bosch</t>
        </is>
      </c>
      <c r="F6" s="36" t="inlineStr">
        <is>
          <t>VVDI Prog, Orange5, Xprog</t>
        </is>
      </c>
      <c r="G6" s="3" t="inlineStr">
        <is>
          <t>CS (Component Security) de 7 bytes, login code, adaptaciones del motor, DTC</t>
        </is>
      </c>
    </row>
    <row r="7" ht="44" customHeight="1">
      <c r="A7" s="17" t="inlineStr">
        <is>
          <t>Motorola / Freescale 9S12 (HCS12)</t>
        </is>
      </c>
      <c r="B7" s="4" t="inlineStr">
        <is>
          <t>BMW CAS (Car Access System), BMW FRM, Mercedes EIS</t>
        </is>
      </c>
      <c r="C7" s="4" t="inlineStr">
        <is>
          <t>Propietario Flash + EEPROM interna</t>
        </is>
      </c>
      <c r="D7" s="4" t="inlineStr">
        <is>
          <t>No hay pines externos simples — requiere JTAG o BDM (Background Debug Mode)</t>
        </is>
      </c>
      <c r="E7" s="4" t="inlineStr">
        <is>
          <t>Microcontrolador completo; la seguridad ISTAP bloquea lectura directa; requiere downgrade de flash</t>
        </is>
      </c>
      <c r="F7" s="37" t="inlineStr">
        <is>
          <t>VVDI Prog con adaptador BDM, Autel XP400 Pro, Mini ACDP</t>
        </is>
      </c>
      <c r="G7" s="4" t="inlineStr">
        <is>
          <t>ISN (Individual Serial Number), llaves registradas, configuración de acceso</t>
        </is>
      </c>
    </row>
    <row r="8" ht="44" customHeight="1">
      <c r="A8" s="16" t="inlineStr">
        <is>
          <t>NEC 76F0059 / RH850</t>
        </is>
      </c>
      <c r="B8" s="3" t="inlineStr">
        <is>
          <t>VAG MQB Immo 5 (Golf 7+), Audi A3 8V, SEAT/SKODA MQB</t>
        </is>
      </c>
      <c r="C8" s="3" t="inlineStr">
        <is>
          <t>Propietario — requiere sondas específicas</t>
        </is>
      </c>
      <c r="D8" s="3" t="inlineStr">
        <is>
          <t>Puntos de prueba (TP) específicos en PCB del módulo</t>
        </is>
      </c>
      <c r="E8" s="3" t="inlineStr">
        <is>
          <t>Requiere desmontar el módulo físicamente; soldadura de sondas; proceso delicado; riesgo alto</t>
        </is>
      </c>
      <c r="F8" s="36" t="inlineStr">
        <is>
          <t>ABRITES, Autel IM608 Pro II, Yanhua ACDP, Scorpio LK</t>
        </is>
      </c>
      <c r="G8" s="3" t="inlineStr">
        <is>
          <t>CS 16 bytes (Component Security completo); requerido para cualquier programación MQB</t>
        </is>
      </c>
    </row>
    <row r="9" ht="44" customHeight="1">
      <c r="A9" s="17" t="inlineStr">
        <is>
          <t>24C64 / 24C128</t>
        </is>
      </c>
      <c r="B9" s="4" t="inlineStr">
        <is>
          <t>Toyota Lexus BCM moderno, Honda Immo 2012+</t>
        </is>
      </c>
      <c r="C9" s="4" t="inlineStr">
        <is>
          <t>I2C</t>
        </is>
      </c>
      <c r="D9" s="4" t="inlineStr">
        <is>
          <t>SDA, SCL</t>
        </is>
      </c>
      <c r="E9" s="4" t="inlineStr">
        <is>
          <t>Mayor capacidad; contiene datos de múltiples llaves y configuración de Smart Key</t>
        </is>
      </c>
      <c r="F9" s="37" t="inlineStr">
        <is>
          <t>VVDI Prog, Orange5</t>
        </is>
      </c>
      <c r="G9" s="4" t="inlineStr">
        <is>
          <t>Llaves Smart Key registradas, estado de lock bit por llave, VIN codificado</t>
        </is>
      </c>
    </row>
    <row r="10" ht="44" customHeight="1">
      <c r="A10" s="16" t="inlineStr">
        <is>
          <t>EEPROM PCF7936 / ID46 (en llave)</t>
        </is>
      </c>
      <c r="B10" s="3" t="inlineStr">
        <is>
          <t>Interior del chip de la llave — no en el vehículo</t>
        </is>
      </c>
      <c r="C10" s="3" t="inlineStr">
        <is>
          <t>Propietario NXP Hitag2</t>
        </is>
      </c>
      <c r="D10" s="3" t="inlineStr">
        <is>
          <t>RF induction 125 kHz</t>
        </is>
      </c>
      <c r="E10" s="3" t="inlineStr">
        <is>
          <t>La Página 3 del chip contiene la Secret Key protegida; una vez escrita = bloqueada para ese VIN</t>
        </is>
      </c>
      <c r="F10" s="36" t="inlineStr">
        <is>
          <t>VVDI Key Tool Max, Autel KM100 (bobina de RF)</t>
        </is>
      </c>
      <c r="G10" s="3" t="inlineStr">
        <is>
          <t>Secret Key, ID del vehículo objetivo, Lock Bit de programación</t>
        </is>
      </c>
    </row>
    <row r="11" ht="44" customHeight="1">
      <c r="A11" s="11" t="n"/>
      <c r="B11" s="11" t="n"/>
      <c r="C11" s="11" t="n"/>
      <c r="D11" s="11" t="n"/>
      <c r="E11" s="11" t="n"/>
      <c r="F11" s="11" t="n"/>
      <c r="G11" s="11" t="n"/>
    </row>
    <row r="12" ht="44" customHeight="1">
      <c r="A12" s="1" t="inlineStr">
        <is>
          <t>PIRÁMIDE DE HERRAMIENTAS DE PROGRAMACIÓN DE LLAVES — Nivel 1 a Nivel 4</t>
        </is>
      </c>
    </row>
    <row r="13" ht="44" customHeight="1">
      <c r="A13" s="2" t="inlineStr">
        <is>
          <t>Nivel</t>
        </is>
      </c>
      <c r="B13" s="2" t="inlineStr">
        <is>
          <t>Herramienta</t>
        </is>
      </c>
      <c r="C13" s="2" t="inlineStr">
        <is>
          <t>Capacidad Principal</t>
        </is>
      </c>
      <c r="D13" s="2" t="inlineStr">
        <is>
          <t>Marcas Cubiertas</t>
        </is>
      </c>
      <c r="E13" s="2" t="inlineStr">
        <is>
          <t>Método</t>
        </is>
      </c>
      <c r="F13" s="2" t="inlineStr">
        <is>
          <t>Costo Aprox. (MXN)</t>
        </is>
      </c>
      <c r="G13" s="2" t="inlineStr">
        <is>
          <t>Nota Técnica</t>
        </is>
      </c>
    </row>
    <row r="14" ht="44" customHeight="1">
      <c r="A14" s="16" t="inlineStr">
        <is>
          <t>Nivel 1 — OBD Básico</t>
        </is>
      </c>
      <c r="B14" s="12" t="inlineStr">
        <is>
          <t>Autel IM508 / IM608</t>
        </is>
      </c>
      <c r="C14" s="3" t="inlineStr">
        <is>
          <t>Programación OBD sin herramienta de lectura EEPROM; cálculo automático de PIN Nissan/Hyundai</t>
        </is>
      </c>
      <c r="D14" s="3" t="inlineStr">
        <is>
          <t>GM, Ford, Toyota, Nissan, Honda, Hyundai, Kia, VW (pre-MQB)</t>
        </is>
      </c>
      <c r="E14" s="3" t="inlineStr">
        <is>
          <t>OBD2 directo; sin apertura de módulos</t>
        </is>
      </c>
      <c r="F14" s="28" t="inlineStr">
        <is>
          <t>$25,000 – $55,000 MXN</t>
        </is>
      </c>
      <c r="G14" s="3" t="inlineStr">
        <is>
          <t>Cubre ~80% del mercado en México; limitado en BMW avanzado y VAG MQB</t>
        </is>
      </c>
    </row>
    <row r="15" ht="44" customHeight="1">
      <c r="A15" s="17" t="inlineStr">
        <is>
          <t>Nivel 2 — Clonación</t>
        </is>
      </c>
      <c r="B15" s="13" t="inlineStr">
        <is>
          <t>Xhorse VVDI Key Tool Max / VVDI Mini</t>
        </is>
      </c>
      <c r="C15" s="4" t="inlineStr">
        <is>
          <t>Clonación de chips ID46/4D, desbloqueo de Smart Keys Toyota/Nissan, ajuste de frecuencia de mando</t>
        </is>
      </c>
      <c r="D15" s="4" t="inlineStr">
        <is>
          <t>Toyota, Honda, Ford, Nissan, Hyundai, Kia — chips ID46/4D/4C</t>
        </is>
      </c>
      <c r="E15" s="4" t="inlineStr">
        <is>
          <t>RF directo al chip; sin OBD; bobina de inducción</t>
        </is>
      </c>
      <c r="F15" s="29" t="inlineStr">
        <is>
          <t>$12,000 – $18,000 MXN</t>
        </is>
      </c>
      <c r="G15" s="4" t="inlineStr">
        <is>
          <t>Esencial para reciclar llaves usadas (Unlock/Renew); ajustar frecuencia 315→433 MHz</t>
        </is>
      </c>
    </row>
    <row r="16" ht="44" customHeight="1">
      <c r="A16" s="16" t="inlineStr">
        <is>
          <t>Nivel 2B — Generación</t>
        </is>
      </c>
      <c r="B16" s="12" t="inlineStr">
        <is>
          <t>Xhorse VVDI2 / Autel IM608 Pro</t>
        </is>
      </c>
      <c r="C16" s="3" t="inlineStr">
        <is>
          <t>Generación de llaves desde datos del vehículo; programación avanzada con acceso a servidores</t>
        </is>
      </c>
      <c r="D16" s="3" t="inlineStr">
        <is>
          <t>VW completo (IMMO 3/4/5), BMW CAS/FEM, Toyota 8A</t>
        </is>
      </c>
      <c r="E16" s="3" t="inlineStr">
        <is>
          <t>OBD + servidor online; algunas funciones offline</t>
        </is>
      </c>
      <c r="F16" s="28" t="inlineStr">
        <is>
          <t>$35,000 – $70,000 MXN</t>
        </is>
      </c>
      <c r="G16" s="3" t="inlineStr">
        <is>
          <t>Acceso a tokens de operaciones avanzadas; BMW y VAG MQB requieren pasos adicionales</t>
        </is>
      </c>
    </row>
    <row r="17" ht="44" customHeight="1">
      <c r="A17" s="17" t="inlineStr">
        <is>
          <t>Nivel 3 — EEPROM</t>
        </is>
      </c>
      <c r="B17" s="13" t="inlineStr">
        <is>
          <t>VVDI Prog / Orange5 / Autel XP400 Pro</t>
        </is>
      </c>
      <c r="C17" s="4" t="inlineStr">
        <is>
          <t>Lectura y escritura de memorias EEPROM/Flash directamente del módulo</t>
        </is>
      </c>
      <c r="D17" s="4" t="inlineStr">
        <is>
          <t>BMW (CAS/FRM), Toyota inmo antiguo, VAG EDC15, Mercedes EIS</t>
        </is>
      </c>
      <c r="E17" s="4" t="inlineStr">
        <is>
          <t>Soldadura directa o adaptadores SOIC; requiere desmontar módulo</t>
        </is>
      </c>
      <c r="F17" s="29" t="inlineStr">
        <is>
          <t>$8,000 – $20,000 MXN + adaptadores</t>
        </is>
      </c>
      <c r="G17" s="4" t="inlineStr">
        <is>
          <t>Necesario para All Keys Lost en BMW/Mercedes/Toyota antiguo; requiere habilidad de soldadura</t>
        </is>
      </c>
    </row>
    <row r="18" ht="44" customHeight="1">
      <c r="A18" s="16" t="inlineStr">
        <is>
          <t>Nivel 3B — Microcontrolador</t>
        </is>
      </c>
      <c r="B18" s="12" t="inlineStr">
        <is>
          <t>Yanhua ACDP / Mini ACDP</t>
        </is>
      </c>
      <c r="C18" s="3" t="inlineStr">
        <is>
          <t>Lectura NEC/RH850 para VAG MQB; BMW CAS/FEM; adaptadores especializados</t>
        </is>
      </c>
      <c r="D18" s="3" t="inlineStr">
        <is>
          <t>VAG MQB (IMMO 5), BMW FEM/BDC, Volvo</t>
        </is>
      </c>
      <c r="E18" s="3" t="inlineStr">
        <is>
          <t>Sondas físicas en puntos de prueba del PCB</t>
        </is>
      </c>
      <c r="F18" s="28" t="inlineStr">
        <is>
          <t>$25,000 – $50,000 MXN</t>
        </is>
      </c>
      <c r="G18" s="3" t="inlineStr">
        <is>
          <t>La forma más segura de leer NEC/RH850 sin riesgo de dañar el módulo; sin soldadura de chip</t>
        </is>
      </c>
    </row>
    <row r="19" ht="44" customHeight="1">
      <c r="A19" s="17" t="inlineStr">
        <is>
          <t>Nivel 4 — Calculadoras</t>
        </is>
      </c>
      <c r="B19" s="13" t="inlineStr">
        <is>
          <t>Software Incode/Outcode + servidores NASTF</t>
        </is>
      </c>
      <c r="C19" s="4" t="inlineStr">
        <is>
          <t>Cálculo de códigos de desafío-respuesta Ford/Mazda; algoritmos de PIN</t>
        </is>
      </c>
      <c r="D19" s="4" t="inlineStr">
        <is>
          <t>Ford, Mazda, JLR (vía servidor NASTF)</t>
        </is>
      </c>
      <c r="E19" s="4" t="inlineStr">
        <is>
          <t>Online via Wi-Fi durante sesión de diagnóstico</t>
        </is>
      </c>
      <c r="F19" s="29" t="inlineStr">
        <is>
          <t>$500 – $3,000 MXN/año (suscripción)</t>
        </is>
      </c>
      <c r="G19" s="4" t="inlineStr">
        <is>
          <t>Muchas herramientas Nivel 1 ya incluyen esto automáticamente; útil como respaldo independiente</t>
        </is>
      </c>
    </row>
    <row r="20" ht="44" customHeight="1">
      <c r="A20" s="16" t="inlineStr">
        <is>
          <t>Nivel 5 — Emuladores</t>
        </is>
      </c>
      <c r="B20" s="12" t="inlineStr">
        <is>
          <t>APB112 (Autel) / Smart Key Emulator</t>
        </is>
      </c>
      <c r="C20" s="3" t="inlineStr">
        <is>
          <t>Emular llave maestra Toyota H-chip cuando no existe ninguna llave</t>
        </is>
      </c>
      <c r="D20" s="3" t="inlineStr">
        <is>
          <t>Toyota 2014+ (H-Chip / 8A AES)</t>
        </is>
      </c>
      <c r="E20" s="3" t="inlineStr">
        <is>
          <t>Conectar al bombín de ignición; recolecta datos del sistema</t>
        </is>
      </c>
      <c r="F20" s="28" t="inlineStr">
        <is>
          <t>$8,000 – $15,000 MXN</t>
        </is>
      </c>
      <c r="G20" s="3" t="inlineStr">
        <is>
          <t>Sin este emulador = imposible hacer All Keys Lost en Toyota con H-Chip sin leer EEPROM</t>
        </is>
      </c>
    </row>
    <row r="21" ht="44" customHeight="1">
      <c r="A21" s="11" t="n"/>
      <c r="B21" s="11" t="n"/>
      <c r="C21" s="11" t="n"/>
      <c r="D21" s="11" t="n"/>
      <c r="E21" s="11" t="n"/>
      <c r="F21" s="11" t="n"/>
      <c r="G21" s="11" t="n"/>
    </row>
    <row r="22" ht="44" customHeight="1"/>
    <row r="23" ht="44" customHeight="1"/>
    <row r="24" ht="44" customHeight="1"/>
    <row r="25" ht="44" customHeight="1"/>
    <row r="26" ht="44" customHeight="1"/>
    <row r="27" ht="44" customHeight="1"/>
    <row r="28" ht="44" customHeight="1"/>
    <row r="29" ht="44" customHeight="1"/>
    <row r="30" ht="44" customHeight="1"/>
    <row r="31" ht="44" customHeight="1"/>
    <row r="32" ht="44" customHeight="1"/>
    <row r="33" ht="44" customHeight="1"/>
    <row r="34" ht="44" customHeight="1"/>
    <row r="35" ht="44" customHeight="1"/>
    <row r="36" ht="44" customHeight="1"/>
    <row r="37" ht="44" customHeight="1"/>
    <row r="38" ht="44" customHeight="1"/>
    <row r="39" ht="44" customHeight="1"/>
    <row r="40" ht="44" customHeight="1"/>
    <row r="41" ht="44" customHeight="1"/>
    <row r="42" ht="44" customHeight="1"/>
    <row r="43" ht="44" customHeight="1"/>
    <row r="44" ht="44" customHeight="1"/>
    <row r="45" ht="44" customHeight="1"/>
    <row r="46" ht="44" customHeight="1"/>
    <row r="47" ht="44" customHeight="1"/>
    <row r="48" ht="44" customHeight="1"/>
    <row r="49" ht="44" customHeight="1"/>
    <row r="50" ht="44" customHeight="1"/>
    <row r="51" ht="44" customHeight="1"/>
    <row r="52" ht="44" customHeight="1"/>
    <row r="53" ht="44" customHeight="1"/>
    <row r="54" ht="44" customHeight="1"/>
    <row r="55" ht="44" customHeight="1"/>
    <row r="56" ht="44" customHeight="1"/>
    <row r="57" ht="44" customHeight="1"/>
    <row r="58" ht="44" customHeight="1"/>
    <row r="59" ht="44" customHeight="1"/>
    <row r="60" ht="44" customHeight="1"/>
    <row r="61" ht="44" customHeight="1"/>
    <row r="62" ht="44" customHeight="1"/>
    <row r="63" ht="44" customHeight="1"/>
    <row r="64" ht="44" customHeight="1"/>
    <row r="65" ht="44" customHeight="1"/>
    <row r="66" ht="44" customHeight="1"/>
    <row r="67" ht="44" customHeight="1"/>
    <row r="68" ht="44" customHeight="1"/>
    <row r="69" ht="44" customHeight="1"/>
    <row r="70" ht="44" customHeight="1"/>
    <row r="71" ht="44" customHeight="1"/>
    <row r="72" ht="44" customHeight="1"/>
    <row r="73" ht="44" customHeight="1"/>
    <row r="74" ht="44" customHeight="1"/>
    <row r="75" ht="44" customHeight="1"/>
    <row r="76" ht="44" customHeight="1"/>
    <row r="77" ht="44" customHeight="1"/>
    <row r="78" ht="44" customHeight="1"/>
    <row r="79" ht="44" customHeight="1"/>
    <row r="80" ht="44" customHeight="1"/>
    <row r="81" ht="44" customHeight="1"/>
    <row r="82" ht="44" customHeight="1"/>
    <row r="83" ht="44" customHeight="1"/>
    <row r="84" ht="44" customHeight="1"/>
    <row r="85" ht="44" customHeight="1"/>
    <row r="86" ht="44" customHeight="1"/>
    <row r="87" ht="44" customHeight="1"/>
    <row r="88" ht="44" customHeight="1"/>
    <row r="89" ht="44" customHeight="1"/>
    <row r="90" ht="44" customHeight="1"/>
    <row r="91" ht="44" customHeight="1"/>
    <row r="92" ht="44" customHeight="1"/>
    <row r="93" ht="44" customHeight="1"/>
    <row r="94" ht="44" customHeight="1"/>
    <row r="95" ht="44" customHeight="1"/>
    <row r="96" ht="44" customHeight="1"/>
    <row r="97" ht="44" customHeight="1"/>
    <row r="98" ht="44" customHeight="1"/>
    <row r="99" ht="44" customHeight="1"/>
    <row r="100" ht="44" customHeight="1"/>
    <row r="101" ht="44" customHeight="1"/>
    <row r="102" ht="44" customHeight="1"/>
    <row r="103" ht="44" customHeight="1"/>
    <row r="104" ht="44" customHeight="1"/>
    <row r="105" ht="44" customHeight="1"/>
    <row r="106" ht="44" customHeight="1"/>
    <row r="107" ht="44" customHeight="1"/>
    <row r="108" ht="44" customHeight="1"/>
    <row r="109" ht="44" customHeight="1"/>
    <row r="110" ht="44" customHeight="1"/>
    <row r="111" ht="44" customHeight="1"/>
    <row r="112" ht="44" customHeight="1"/>
    <row r="113" ht="44" customHeight="1"/>
    <row r="114" ht="44" customHeight="1"/>
    <row r="115" ht="44" customHeight="1"/>
    <row r="116" ht="44" customHeight="1"/>
    <row r="117" ht="44" customHeight="1"/>
    <row r="118" ht="44" customHeight="1"/>
    <row r="119" ht="44" customHeight="1"/>
    <row r="120" ht="44" customHeight="1"/>
    <row r="121" ht="44" customHeight="1"/>
    <row r="122" ht="44" customHeight="1"/>
    <row r="123" ht="44" customHeight="1"/>
    <row r="124" ht="44" customHeight="1"/>
    <row r="125" ht="44" customHeight="1"/>
    <row r="126" ht="44" customHeight="1"/>
    <row r="127" ht="44" customHeight="1"/>
    <row r="128" ht="44" customHeight="1"/>
    <row r="129" ht="44" customHeight="1"/>
    <row r="130" ht="44" customHeight="1"/>
    <row r="131" ht="44" customHeight="1"/>
    <row r="132" ht="44" customHeight="1"/>
    <row r="133" ht="44" customHeight="1"/>
    <row r="134" ht="44" customHeight="1"/>
    <row r="135" ht="44" customHeight="1"/>
    <row r="136" ht="44" customHeight="1"/>
    <row r="137" ht="44" customHeight="1"/>
    <row r="138" ht="44" customHeight="1"/>
    <row r="139" ht="44" customHeight="1"/>
    <row r="140" ht="44" customHeight="1"/>
    <row r="141" ht="44" customHeight="1"/>
    <row r="142" ht="44" customHeight="1"/>
    <row r="143" ht="44" customHeight="1"/>
    <row r="144" ht="44" customHeight="1"/>
    <row r="145" ht="44" customHeight="1"/>
    <row r="146" ht="44" customHeight="1"/>
    <row r="147" ht="44" customHeight="1"/>
    <row r="148" ht="44" customHeight="1"/>
    <row r="149" ht="44" customHeight="1"/>
    <row r="150" ht="44" customHeight="1"/>
    <row r="151" ht="44" customHeight="1"/>
    <row r="152" ht="44" customHeight="1"/>
    <row r="153" ht="44" customHeight="1"/>
    <row r="154" ht="44" customHeight="1"/>
    <row r="155" ht="44" customHeight="1"/>
    <row r="156" ht="44" customHeight="1"/>
    <row r="157" ht="44" customHeight="1"/>
    <row r="158" ht="44" customHeight="1"/>
    <row r="159" ht="44" customHeight="1"/>
    <row r="160" ht="44" customHeight="1"/>
    <row r="161" ht="44" customHeight="1"/>
    <row r="162" ht="44" customHeight="1"/>
    <row r="163" ht="44" customHeight="1"/>
    <row r="164" ht="44" customHeight="1"/>
    <row r="165" ht="44" customHeight="1"/>
    <row r="166" ht="44" customHeight="1"/>
    <row r="167" ht="44" customHeight="1"/>
    <row r="168" ht="44" customHeight="1"/>
    <row r="169" ht="44" customHeight="1"/>
    <row r="170" ht="44" customHeight="1"/>
    <row r="171" ht="44" customHeight="1"/>
    <row r="172" ht="44" customHeight="1"/>
    <row r="173" ht="44" customHeight="1"/>
    <row r="174" ht="44" customHeight="1"/>
    <row r="175" ht="44" customHeight="1"/>
    <row r="176" ht="44" customHeight="1"/>
    <row r="177" ht="44" customHeight="1"/>
    <row r="178" ht="44" customHeight="1"/>
    <row r="179" ht="44" customHeight="1"/>
    <row r="180" ht="44" customHeight="1"/>
    <row r="181" ht="44" customHeight="1"/>
    <row r="182" ht="44" customHeight="1"/>
    <row r="183" ht="44" customHeight="1"/>
    <row r="184" ht="44" customHeight="1"/>
    <row r="185" ht="44" customHeight="1"/>
    <row r="186" ht="44" customHeight="1"/>
    <row r="187" ht="44" customHeight="1"/>
    <row r="188" ht="44" customHeight="1"/>
    <row r="189" ht="44" customHeight="1"/>
    <row r="190" ht="44" customHeight="1"/>
    <row r="191" ht="44" customHeight="1"/>
    <row r="192" ht="44" customHeight="1"/>
    <row r="193" ht="44" customHeight="1"/>
    <row r="194" ht="44" customHeight="1"/>
    <row r="195" ht="44" customHeight="1"/>
    <row r="196" ht="44" customHeight="1"/>
    <row r="197" ht="44" customHeight="1"/>
    <row r="198" ht="44" customHeight="1"/>
    <row r="199" ht="44" customHeight="1"/>
    <row r="200" ht="44" customHeight="1"/>
    <row r="201" ht="44" customHeight="1"/>
    <row r="202" ht="44" customHeight="1"/>
    <row r="203" ht="44" customHeight="1"/>
    <row r="204" ht="44" customHeight="1"/>
    <row r="205" ht="44" customHeight="1"/>
    <row r="206" ht="44" customHeight="1"/>
    <row r="207" ht="44" customHeight="1"/>
    <row r="208" ht="44" customHeight="1"/>
    <row r="209" ht="44" customHeight="1"/>
    <row r="210" ht="44" customHeight="1"/>
    <row r="211" ht="44" customHeight="1"/>
    <row r="212" ht="44" customHeight="1"/>
    <row r="213" ht="44" customHeight="1"/>
    <row r="214" ht="44" customHeight="1"/>
    <row r="215" ht="44" customHeight="1"/>
    <row r="216" ht="44" customHeight="1"/>
    <row r="217" ht="44" customHeight="1"/>
    <row r="218" ht="44" customHeight="1"/>
    <row r="219" ht="44" customHeight="1"/>
    <row r="220" ht="44" customHeight="1"/>
    <row r="221" ht="44" customHeight="1"/>
    <row r="222" ht="44" customHeight="1"/>
    <row r="223" ht="44" customHeight="1"/>
    <row r="224" ht="44" customHeight="1"/>
    <row r="225" ht="44" customHeight="1"/>
    <row r="226" ht="44" customHeight="1"/>
    <row r="227" ht="44" customHeight="1"/>
    <row r="228" ht="44" customHeight="1"/>
    <row r="229" ht="44" customHeight="1"/>
    <row r="230" ht="44" customHeight="1"/>
    <row r="231" ht="44" customHeight="1"/>
    <row r="232" ht="44" customHeight="1"/>
    <row r="233" ht="44" customHeight="1"/>
    <row r="234" ht="44" customHeight="1"/>
    <row r="235" ht="44" customHeight="1"/>
    <row r="236" ht="44" customHeight="1"/>
    <row r="237" ht="44" customHeight="1"/>
    <row r="238" ht="44" customHeight="1"/>
    <row r="239" ht="44" customHeight="1"/>
    <row r="240" ht="44" customHeight="1"/>
    <row r="241" ht="44" customHeight="1"/>
    <row r="242" ht="44" customHeight="1"/>
    <row r="243" ht="44" customHeight="1"/>
    <row r="244" ht="44" customHeight="1"/>
    <row r="245" ht="44" customHeight="1"/>
    <row r="246" ht="44" customHeight="1"/>
    <row r="247" ht="44" customHeight="1"/>
    <row r="248" ht="44" customHeight="1"/>
    <row r="249" ht="44" customHeight="1"/>
    <row r="250" ht="44" customHeight="1"/>
    <row r="251" ht="44" customHeight="1"/>
    <row r="252" ht="44" customHeight="1"/>
    <row r="253" ht="44" customHeight="1"/>
    <row r="254" ht="44" customHeight="1"/>
    <row r="255" ht="44" customHeight="1"/>
    <row r="256" ht="44" customHeight="1"/>
    <row r="257" ht="44" customHeight="1"/>
    <row r="258" ht="44" customHeight="1"/>
    <row r="259" ht="44" customHeight="1"/>
    <row r="260" ht="44" customHeight="1"/>
    <row r="261" ht="44" customHeight="1"/>
    <row r="262" ht="44" customHeight="1"/>
    <row r="263" ht="44" customHeight="1"/>
    <row r="264" ht="44" customHeight="1"/>
    <row r="265" ht="44" customHeight="1"/>
    <row r="266" ht="44" customHeight="1"/>
    <row r="267" ht="44" customHeight="1"/>
    <row r="268" ht="44" customHeight="1"/>
    <row r="269" ht="44" customHeight="1"/>
    <row r="270" ht="44" customHeight="1"/>
    <row r="271" ht="44" customHeight="1"/>
    <row r="272" ht="44" customHeight="1"/>
    <row r="273" ht="44" customHeight="1"/>
    <row r="274" ht="44" customHeight="1"/>
    <row r="275" ht="44" customHeight="1"/>
    <row r="276" ht="44" customHeight="1"/>
    <row r="277" ht="44" customHeight="1"/>
    <row r="278" ht="44" customHeight="1"/>
    <row r="279" ht="44" customHeight="1"/>
    <row r="280" ht="44" customHeight="1"/>
    <row r="281" ht="44" customHeight="1"/>
    <row r="282" ht="44" customHeight="1"/>
    <row r="283" ht="44" customHeight="1"/>
    <row r="284" ht="44" customHeight="1"/>
    <row r="285" ht="44" customHeight="1"/>
    <row r="286" ht="44" customHeight="1"/>
    <row r="287" ht="44" customHeight="1"/>
    <row r="288" ht="44" customHeight="1"/>
    <row r="289" ht="44" customHeight="1"/>
    <row r="290" ht="44" customHeight="1"/>
    <row r="291" ht="44" customHeight="1"/>
    <row r="292" ht="44" customHeight="1"/>
    <row r="293" ht="44" customHeight="1"/>
    <row r="294" ht="44" customHeight="1"/>
    <row r="295" ht="44" customHeight="1"/>
    <row r="296" ht="44" customHeight="1"/>
    <row r="297" ht="44" customHeight="1"/>
    <row r="298" ht="44" customHeight="1"/>
    <row r="299" ht="44" customHeight="1"/>
    <row r="300" ht="44" customHeight="1"/>
    <row r="301" ht="44" customHeight="1"/>
    <row r="302" ht="44" customHeight="1"/>
    <row r="303" ht="44" customHeight="1"/>
    <row r="304" ht="44" customHeight="1"/>
    <row r="305" ht="44" customHeight="1"/>
    <row r="306" ht="44" customHeight="1"/>
    <row r="307" ht="44" customHeight="1"/>
    <row r="308" ht="44" customHeight="1"/>
    <row r="309" ht="44" customHeight="1"/>
    <row r="310" ht="44" customHeight="1"/>
    <row r="311" ht="44" customHeight="1"/>
    <row r="312" ht="44" customHeight="1"/>
    <row r="313" ht="44" customHeight="1"/>
    <row r="314" ht="44" customHeight="1"/>
    <row r="315" ht="44" customHeight="1"/>
    <row r="316" ht="44" customHeight="1"/>
    <row r="317" ht="44" customHeight="1"/>
    <row r="318" ht="44" customHeight="1"/>
    <row r="319" ht="44" customHeight="1"/>
    <row r="320" ht="44" customHeight="1"/>
    <row r="321" ht="44" customHeight="1"/>
    <row r="322" ht="44" customHeight="1"/>
    <row r="323" ht="44" customHeight="1"/>
    <row r="324" ht="44" customHeight="1"/>
    <row r="325" ht="44" customHeight="1"/>
    <row r="326" ht="44" customHeight="1"/>
    <row r="327" ht="44" customHeight="1"/>
    <row r="328" ht="44" customHeight="1"/>
    <row r="329" ht="44" customHeight="1"/>
    <row r="330" ht="44" customHeight="1"/>
    <row r="331" ht="44" customHeight="1"/>
    <row r="332" ht="44" customHeight="1"/>
    <row r="333" ht="44" customHeight="1"/>
    <row r="334" ht="44" customHeight="1"/>
    <row r="335" ht="44" customHeight="1"/>
    <row r="336" ht="44" customHeight="1"/>
    <row r="337" ht="44" customHeight="1"/>
    <row r="338" ht="44" customHeight="1"/>
    <row r="339" ht="44" customHeight="1"/>
    <row r="340" ht="44" customHeight="1"/>
    <row r="341" ht="44" customHeight="1"/>
    <row r="342" ht="44" customHeight="1"/>
    <row r="343" ht="44" customHeight="1"/>
    <row r="344" ht="44" customHeight="1"/>
    <row r="345" ht="44" customHeight="1"/>
    <row r="346" ht="44" customHeight="1"/>
    <row r="347" ht="44" customHeight="1"/>
    <row r="348" ht="44" customHeight="1"/>
    <row r="349" ht="44" customHeight="1"/>
    <row r="350" ht="44" customHeight="1"/>
    <row r="351" ht="44" customHeight="1"/>
    <row r="352" ht="44" customHeight="1"/>
    <row r="353" ht="44" customHeight="1"/>
    <row r="354" ht="44" customHeight="1"/>
    <row r="355" ht="44" customHeight="1"/>
    <row r="356" ht="44" customHeight="1"/>
    <row r="357" ht="44" customHeight="1"/>
    <row r="358" ht="44" customHeight="1"/>
    <row r="359" ht="44" customHeight="1"/>
    <row r="360" ht="44" customHeight="1"/>
    <row r="361" ht="44" customHeight="1"/>
    <row r="362" ht="44" customHeight="1"/>
    <row r="363" ht="44" customHeight="1"/>
    <row r="364" ht="44" customHeight="1"/>
    <row r="365" ht="44" customHeight="1"/>
    <row r="366" ht="44" customHeight="1"/>
    <row r="367" ht="44" customHeight="1"/>
    <row r="368" ht="44" customHeight="1"/>
    <row r="369" ht="44" customHeight="1"/>
    <row r="370" ht="44" customHeight="1"/>
    <row r="371" ht="44" customHeight="1"/>
    <row r="372" ht="44" customHeight="1"/>
    <row r="373" ht="44" customHeight="1"/>
    <row r="374" ht="44" customHeight="1"/>
    <row r="375" ht="44" customHeight="1"/>
    <row r="376" ht="44" customHeight="1"/>
    <row r="377" ht="44" customHeight="1"/>
    <row r="378" ht="44" customHeight="1"/>
    <row r="379" ht="44" customHeight="1"/>
    <row r="380" ht="44" customHeight="1"/>
    <row r="381" ht="44" customHeight="1"/>
    <row r="382" ht="44" customHeight="1"/>
    <row r="383" ht="44" customHeight="1"/>
    <row r="384" ht="44" customHeight="1"/>
    <row r="385" ht="44" customHeight="1"/>
    <row r="386" ht="44" customHeight="1"/>
    <row r="387" ht="44" customHeight="1"/>
    <row r="388" ht="44" customHeight="1"/>
    <row r="389" ht="44" customHeight="1"/>
    <row r="390" ht="44" customHeight="1"/>
    <row r="391" ht="44" customHeight="1"/>
    <row r="392" ht="44" customHeight="1"/>
    <row r="393" ht="44" customHeight="1"/>
    <row r="394" ht="44" customHeight="1"/>
    <row r="395" ht="44" customHeight="1"/>
    <row r="396" ht="44" customHeight="1"/>
    <row r="397" ht="44" customHeight="1"/>
    <row r="398" ht="44" customHeight="1"/>
    <row r="399" ht="44" customHeight="1"/>
  </sheetData>
  <mergeCells count="3">
    <mergeCell ref="A2:G2"/>
    <mergeCell ref="A1:G1"/>
    <mergeCell ref="A12:G1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9"/>
  <sheetViews>
    <sheetView showGridLines="0" workbookViewId="0">
      <selection activeCell="A1" sqref="A1"/>
    </sheetView>
  </sheetViews>
  <sheetFormatPr baseColWidth="8" defaultRowHeight="15"/>
  <cols>
    <col width="18" customWidth="1" min="1" max="1"/>
    <col width="24" customWidth="1" min="2" max="2"/>
    <col width="22" customWidth="1" min="3" max="3"/>
    <col width="28" customWidth="1" min="4" max="4"/>
    <col width="28" customWidth="1" min="5" max="5"/>
    <col width="28" customWidth="1" min="6" max="6"/>
    <col width="32" customWidth="1" min="7" max="7"/>
    <col width="18" customWidth="1" min="8" max="8"/>
    <col width="44" customWidth="1" min="9" max="9"/>
  </cols>
  <sheetData>
    <row r="1" ht="24" customHeight="1">
      <c r="A1" s="1" t="inlineStr">
        <is>
          <t>DIAGNÓSTICO DE SENSORES ECU/PCM — Guía PROPARTS MOVIL (2000-2025) | Multímetro + Osciloscopio</t>
        </is>
      </c>
    </row>
    <row r="2" ht="32" customHeight="1">
      <c r="A2" s="2" t="inlineStr">
        <is>
          <t>Sensor</t>
        </is>
      </c>
      <c r="B2" s="2" t="inlineStr">
        <is>
          <t>Tipo / Tecnología</t>
        </is>
      </c>
      <c r="C2" s="2" t="inlineStr">
        <is>
          <t>Herramienta</t>
        </is>
      </c>
      <c r="D2" s="2" t="inlineStr">
        <is>
          <t>Parámetro Medido</t>
        </is>
      </c>
      <c r="E2" s="2" t="inlineStr">
        <is>
          <t>Valor Normal</t>
        </is>
      </c>
      <c r="F2" s="2" t="inlineStr">
        <is>
          <t>Valor de Falla</t>
        </is>
      </c>
      <c r="G2" s="2" t="inlineStr">
        <is>
          <t>Forma de Onda</t>
        </is>
      </c>
      <c r="H2" s="2" t="inlineStr">
        <is>
          <t>DTC Asociado</t>
        </is>
      </c>
      <c r="I2" s="2" t="inlineStr">
        <is>
          <t>Nota Diagnóstico Avanzado</t>
        </is>
      </c>
    </row>
    <row r="3" ht="52" customHeight="1">
      <c r="A3" s="9" t="inlineStr">
        <is>
          <t>CKP (Cigüeñal)</t>
        </is>
      </c>
      <c r="B3" s="3" t="inlineStr">
        <is>
          <t>Inductivo — Genera AC sinusoidal</t>
        </is>
      </c>
      <c r="C3" s="3" t="inlineStr">
        <is>
          <t>Multímetro (Ohmímetro)</t>
        </is>
      </c>
      <c r="D3" s="3" t="inlineStr">
        <is>
          <t>Resistencia interna del bobinado</t>
        </is>
      </c>
      <c r="E3" s="12" t="inlineStr">
        <is>
          <t>800 – 1,500 Ω (varía por OEM)</t>
        </is>
      </c>
      <c r="F3" s="30" t="inlineStr">
        <is>
          <t>&lt; 400 Ω (cortocircuito) / &gt; 2,500 Ω (deteriorado por calor)</t>
        </is>
      </c>
      <c r="G3" s="3" t="inlineStr">
        <is>
          <t>N/A — prueba estática</t>
        </is>
      </c>
      <c r="H3" s="26" t="inlineStr">
        <is>
          <t>P0335</t>
        </is>
      </c>
      <c r="I3" s="3" t="inlineStr">
        <is>
          <t>Desconectar ECU antes de medir. Resistencia alta = bobinado recalentado = señal débil pero no ausente</t>
        </is>
      </c>
    </row>
    <row r="4" ht="52" customHeight="1">
      <c r="A4" s="10" t="inlineStr">
        <is>
          <t>CKP (Cigüeñal)</t>
        </is>
      </c>
      <c r="B4" s="4" t="inlineStr">
        <is>
          <t>Inductivo — Genera AC sinusoidal</t>
        </is>
      </c>
      <c r="C4" s="4" t="inlineStr">
        <is>
          <t>Osciloscopio — Prueba dinámica</t>
        </is>
      </c>
      <c r="D4" s="4" t="inlineStr">
        <is>
          <t>Voltaje pico a pico (AC) durante arranque (cranking)</t>
        </is>
      </c>
      <c r="E4" s="13" t="inlineStr">
        <is>
          <t>Mín. 1.0V Vpp al crankar / hasta 40-60V Vpp a RPM altas</t>
        </is>
      </c>
      <c r="F4" s="31" t="inlineStr">
        <is>
          <t>&lt; 0.5V Vpp al crankar — señal débil</t>
        </is>
      </c>
      <c r="G4" s="4" t="inlineStr">
        <is>
          <t>Sinusoide limpia; frecuencia aumenta proporcionalmente con RPM</t>
        </is>
      </c>
      <c r="H4" s="27" t="inlineStr">
        <is>
          <t>P0335 / P1335</t>
        </is>
      </c>
      <c r="I4" s="4" t="inlineStr">
        <is>
          <t>Deshabilitar inyectores y bobinas antes de crankar para prueba. Ruido = interferencia o gap sensor/reluctor</t>
        </is>
      </c>
    </row>
    <row r="5" ht="52" customHeight="1">
      <c r="A5" s="9" t="inlineStr">
        <is>
          <t>CKP (Cigüeñal)</t>
        </is>
      </c>
      <c r="B5" s="3" t="inlineStr">
        <is>
          <t>Efecto Hall — Digital</t>
        </is>
      </c>
      <c r="C5" s="3" t="inlineStr">
        <is>
          <t>Osciloscopio — Prueba dinámica</t>
        </is>
      </c>
      <c r="D5" s="3" t="inlineStr">
        <is>
          <t>Onda cuadrada + diente faltante (Missing Tooth Gap)</t>
        </is>
      </c>
      <c r="E5" s="12" t="inlineStr">
        <is>
          <t>5V amplitud fija / 0V base. Diente faltante = TDC del motor</t>
        </is>
      </c>
      <c r="F5" s="30" t="inlineStr">
        <is>
          <t>Señal plana (fija en 5V o 0V) / transición sucia</t>
        </is>
      </c>
      <c r="G5" s="3" t="inlineStr">
        <is>
          <t>Onda cuadrada con GAP claramente visible = TDC</t>
        </is>
      </c>
      <c r="H5" s="26" t="inlineStr">
        <is>
          <t>P0335</t>
        </is>
      </c>
      <c r="I5" s="3" t="inlineStr">
        <is>
          <t>El diente faltante es LO MÁS IMPORTANTE de verificar. Sin gap = PCM no puede calcular sincronización</t>
        </is>
      </c>
    </row>
    <row r="6" ht="52" customHeight="1">
      <c r="A6" s="10" t="inlineStr">
        <is>
          <t>CKP (Cigüeñal)</t>
        </is>
      </c>
      <c r="B6" s="4" t="inlineStr">
        <is>
          <t>Efecto Hall — Digital</t>
        </is>
      </c>
      <c r="C6" s="4" t="inlineStr">
        <is>
          <t>Multímetro</t>
        </is>
      </c>
      <c r="D6" s="4" t="inlineStr">
        <is>
          <t>Alimentación y tierra del sensor</t>
        </is>
      </c>
      <c r="E6" s="13" t="inlineStr">
        <is>
          <t>12V en pin de alimentación / 0V en tierra</t>
        </is>
      </c>
      <c r="F6" s="31" t="inlineStr">
        <is>
          <t>Sin 12V = falla en relevador o cableado; sin tierra = falla de masa</t>
        </is>
      </c>
      <c r="G6" s="4" t="inlineStr">
        <is>
          <t>N/A</t>
        </is>
      </c>
      <c r="H6" s="27" t="inlineStr">
        <is>
          <t>P0335</t>
        </is>
      </c>
      <c r="I6" s="4" t="inlineStr">
        <is>
          <t>Verificar tierra del sensor SEPARADA de tierra de chasis — un Ground Offset &gt;0.1V contamina la señal</t>
        </is>
      </c>
    </row>
    <row r="7" ht="52" customHeight="1">
      <c r="A7" s="9" t="inlineStr">
        <is>
          <t>CMP (Árbol de Levas)</t>
        </is>
      </c>
      <c r="B7" s="3" t="inlineStr">
        <is>
          <t>Efecto Hall — Digital (casi universal)</t>
        </is>
      </c>
      <c r="C7" s="3" t="inlineStr">
        <is>
          <t>Osciloscopio — 2 canales</t>
        </is>
      </c>
      <c r="D7" s="3" t="inlineStr">
        <is>
          <t>Sincronización CMP vs CKP simultánea</t>
        </is>
      </c>
      <c r="E7" s="12" t="inlineStr">
        <is>
          <t>Onda cuadrada limpia 5V/0V; patrón de sincronización único por motor según especificación OEM</t>
        </is>
      </c>
      <c r="F7" s="30" t="inlineStr">
        <is>
          <t>Patrón desplazado respecto a CKP = distribución saltada mecánicamente</t>
        </is>
      </c>
      <c r="G7" s="3" t="inlineStr">
        <is>
          <t>Onda cuadrada CH1=CKP + CH2=CMP superpuestas</t>
        </is>
      </c>
      <c r="H7" s="26" t="inlineStr">
        <is>
          <t>P0340 / P1346 / P1349 VVTi</t>
        </is>
      </c>
      <c r="I7" s="3" t="inlineStr">
        <is>
          <t>El diagnóstico definitivo de distribución = comparar el patrón CKP+CMP. Sin software OEM para referencia del patrón = diagnóstico incompleto</t>
        </is>
      </c>
    </row>
    <row r="8" ht="52" customHeight="1">
      <c r="A8" s="10" t="inlineStr">
        <is>
          <t>CMP (Árbol de Levas)</t>
        </is>
      </c>
      <c r="B8" s="4" t="inlineStr">
        <is>
          <t>Efecto Hall — Digital</t>
        </is>
      </c>
      <c r="C8" s="4" t="inlineStr">
        <is>
          <t>Multímetro</t>
        </is>
      </c>
      <c r="D8" s="4" t="inlineStr">
        <is>
          <t>Voltaje de señal en ralentí (promedio)</t>
        </is>
      </c>
      <c r="E8" s="13" t="inlineStr">
        <is>
          <t>2.5V – 3.5V en DC promedio (señal conmutando)</t>
        </is>
      </c>
      <c r="F8" s="31" t="inlineStr">
        <is>
          <t>0V fijo o 5V fijo = sensor sin respuesta</t>
        </is>
      </c>
      <c r="G8" s="4" t="inlineStr">
        <is>
          <t>N/A (solo referencia estática)</t>
        </is>
      </c>
      <c r="H8" s="27" t="inlineStr">
        <is>
          <t>P0340</t>
        </is>
      </c>
      <c r="I8" s="4" t="inlineStr">
        <is>
          <t>El multímetro promedia la señal — útil solo para verificar que HAY señal, no para confirmar calidad</t>
        </is>
      </c>
    </row>
    <row r="9" ht="52" customHeight="1">
      <c r="A9" s="9" t="inlineStr">
        <is>
          <t>MAF (Flujo de Masa de Aire)</t>
        </is>
      </c>
      <c r="B9" s="3" t="inlineStr">
        <is>
          <t>Hilo caliente — Analógico (voltaje)</t>
        </is>
      </c>
      <c r="C9" s="3" t="inlineStr">
        <is>
          <t>Multímetro</t>
        </is>
      </c>
      <c r="D9" s="3" t="inlineStr">
        <is>
          <t>Voltaje de señal en ralentí (motor caliente)</t>
        </is>
      </c>
      <c r="E9" s="12" t="inlineStr">
        <is>
          <t>0.8V – 1.2V en ralentí caliente / &gt;4.0V en WOT</t>
        </is>
      </c>
      <c r="F9" s="30" t="inlineStr">
        <is>
          <t>&lt;0.5V en ralentí = sensor contaminado / sucio. &gt;4.8V = sensor saturado</t>
        </is>
      </c>
      <c r="G9" s="3" t="inlineStr">
        <is>
          <t>Voltaje sube proporcional a flujo de aire — sin saltos</t>
        </is>
      </c>
      <c r="H9" s="26" t="inlineStr">
        <is>
          <t>P0101</t>
        </is>
      </c>
      <c r="I9" s="3" t="inlineStr">
        <is>
          <t>MAF sucio es la causa más común de P0101 en México por polvo. Limpiar con limpia-MAF en aerosol y verificar voltaje antes de sustituir</t>
        </is>
      </c>
    </row>
    <row r="10" ht="52" customHeight="1">
      <c r="A10" s="10" t="inlineStr">
        <is>
          <t>MAF (Flujo de Masa de Aire)</t>
        </is>
      </c>
      <c r="B10" s="4" t="inlineStr">
        <is>
          <t>Frecuencia digital — Hz</t>
        </is>
      </c>
      <c r="C10" s="4" t="inlineStr">
        <is>
          <t>Multímetro (modo Hz) / Osciloscopio</t>
        </is>
      </c>
      <c r="D10" s="4" t="inlineStr">
        <is>
          <t>Frecuencia en Hz en ralentí</t>
        </is>
      </c>
      <c r="E10" s="13" t="inlineStr">
        <is>
          <t>2,000 – 3,000 Hz en ralentí / 8,000-10,000 Hz en WOT</t>
        </is>
      </c>
      <c r="F10" s="31" t="inlineStr">
        <is>
          <t>&lt;1,500 Hz en ralentí = sensor bajo / contaminado</t>
        </is>
      </c>
      <c r="G10" s="4" t="inlineStr">
        <is>
          <t>Onda cuadrada — frecuencia crece con flujo de aire</t>
        </is>
      </c>
      <c r="H10" s="27" t="inlineStr">
        <is>
          <t>P0101</t>
        </is>
      </c>
      <c r="I10" s="4" t="inlineStr">
        <is>
          <t>Multímetro en modo Hz es suficiente para diagnóstico inicial. Osciloscopio confirma calidad de señal</t>
        </is>
      </c>
    </row>
    <row r="11" ht="52" customHeight="1">
      <c r="A11" s="9" t="inlineStr">
        <is>
          <t>MAF — Pin THA (IAT integrado)</t>
        </is>
      </c>
      <c r="B11" s="3" t="inlineStr">
        <is>
          <t>Termistor NTC — Resistencia variable</t>
        </is>
      </c>
      <c r="C11" s="3" t="inlineStr">
        <is>
          <t>Multímetro (Ohmímetro)</t>
        </is>
      </c>
      <c r="D11" s="3" t="inlineStr">
        <is>
          <t>Resistencia del termistor THA según temperatura</t>
        </is>
      </c>
      <c r="E11" s="12" t="inlineStr">
        <is>
          <t>20°C = 2,200-2,800Ω / 80°C = 270-350Ω</t>
        </is>
      </c>
      <c r="F11" s="30" t="inlineStr">
        <is>
          <t>Circuito abierto (∞Ω) o corto (&lt;50Ω) = sensor dañado</t>
        </is>
      </c>
      <c r="G11" s="3" t="inlineStr">
        <is>
          <t>N/A</t>
        </is>
      </c>
      <c r="H11" s="26" t="inlineStr">
        <is>
          <t>P0113 / P0112</t>
        </is>
      </c>
      <c r="I11" s="3" t="inlineStr">
        <is>
          <t>Medir con motor frío para temperatura conocida. THA integrado al MAF en Toyota — un termistor dañado no invalida el MAF completo</t>
        </is>
      </c>
    </row>
    <row r="12" ht="52" customHeight="1">
      <c r="A12" s="10" t="inlineStr">
        <is>
          <t>MAF — Pin E2G / E2 (Tierra sensor)</t>
        </is>
      </c>
      <c r="B12" s="4" t="inlineStr">
        <is>
          <t>Tierra diferenciada</t>
        </is>
      </c>
      <c r="C12" s="4" t="inlineStr">
        <is>
          <t>Multímetro (mV entre E2G y chasis)</t>
        </is>
      </c>
      <c r="D12" s="4" t="inlineStr">
        <is>
          <t>Caída de voltaje entre tierra del sensor y chasis</t>
        </is>
      </c>
      <c r="E12" s="13" t="inlineStr">
        <is>
          <t>&lt; 100 mV (0.1V) — idealmente &lt; 50 mV</t>
        </is>
      </c>
      <c r="F12" s="31" t="inlineStr">
        <is>
          <t>&gt; 100 mV = Ground Offset = contaminación de señal MAF</t>
        </is>
      </c>
      <c r="G12" s="4" t="inlineStr">
        <is>
          <t>N/A</t>
        </is>
      </c>
      <c r="H12" s="27" t="inlineStr">
        <is>
          <t>P0101 intermitente / señales erráticas</t>
        </is>
      </c>
      <c r="I12" s="4" t="inlineStr">
        <is>
          <t>FALLA MUY COMÚN Y POCO DIAGNOSTICADA. Un Ground Offset hace que el MAF lea valores altos falsos. Verificar siempre antes de sustituir el MAF</t>
        </is>
      </c>
    </row>
    <row r="13" ht="52" customHeight="1">
      <c r="A13" s="9" t="inlineStr">
        <is>
          <t>MAP (Presión Múltiple)</t>
        </is>
      </c>
      <c r="B13" s="3" t="inlineStr">
        <is>
          <t>Piezorresistivo — 3 cables</t>
        </is>
      </c>
      <c r="C13" s="3" t="inlineStr">
        <is>
          <t>Multímetro</t>
        </is>
      </c>
      <c r="D13" s="3" t="inlineStr">
        <is>
          <t>Voltaje señal con ignición ON, motor apagado (presión barométrica)</t>
        </is>
      </c>
      <c r="E13" s="12" t="inlineStr">
        <is>
          <t>4.5V – 4.8V a nivel del mar (presión atm ~101 kPa)</t>
        </is>
      </c>
      <c r="F13" s="30" t="inlineStr">
        <is>
          <t>&lt; 4.0V o &gt; 4.9V con motor apagado = sensor fuera de rango</t>
        </is>
      </c>
      <c r="G13" s="3" t="inlineStr">
        <is>
          <t>N/A</t>
        </is>
      </c>
      <c r="H13" s="26" t="inlineStr">
        <is>
          <t>P0106</t>
        </is>
      </c>
      <c r="I13" s="3" t="inlineStr">
        <is>
          <t>En Alpuyeca, Mor. (~1,200 msnm) el MAP leerá ligeramente menos que a nivel del mar — ~4.2-4.5V es normal para esa altitud</t>
        </is>
      </c>
    </row>
    <row r="14" ht="52" customHeight="1">
      <c r="A14" s="10" t="inlineStr">
        <is>
          <t>MAP (Presión Múltiple)</t>
        </is>
      </c>
      <c r="B14" s="4" t="inlineStr">
        <is>
          <t>Piezorresistivo — 3 cables</t>
        </is>
      </c>
      <c r="C14" s="4" t="inlineStr">
        <is>
          <t>Multímetro</t>
        </is>
      </c>
      <c r="D14" s="4" t="inlineStr">
        <is>
          <t>Voltaje señal en ralentí (vacío del motor)</t>
        </is>
      </c>
      <c r="E14" s="13" t="inlineStr">
        <is>
          <t>1.0V – 1.5V en ralentí (vacío alto = baja presión)</t>
        </is>
      </c>
      <c r="F14" s="31" t="inlineStr">
        <is>
          <t>&lt; 0.8V permanente = fuga de vacío severa o sensor dañado</t>
        </is>
      </c>
      <c r="G14" s="4" t="inlineStr">
        <is>
          <t>Voltaje oscila suavemente con pulsaciones del motor</t>
        </is>
      </c>
      <c r="H14" s="27" t="inlineStr">
        <is>
          <t>P0106 / P0107 / P0108</t>
        </is>
      </c>
      <c r="I14" s="4" t="inlineStr">
        <is>
          <t>Comparar MAP con MAF en sistemas que tienen ambos. Si MAF=normal pero MAP=bajo: fuga de vacío entre MAF y throttle. Búsqueda con spray de carburador (CUIDADO: inflamable)</t>
        </is>
      </c>
    </row>
    <row r="15" ht="52" customHeight="1">
      <c r="A15" s="9" t="inlineStr">
        <is>
          <t>TPS (Posición Mariposa)</t>
        </is>
      </c>
      <c r="B15" s="3" t="inlineStr">
        <is>
          <t>Potenciómetro — Pista resistiva</t>
        </is>
      </c>
      <c r="C15" s="3" t="inlineStr">
        <is>
          <t>Osciloscopio — Barrido lento</t>
        </is>
      </c>
      <c r="D15" s="3" t="inlineStr">
        <is>
          <t>Barrido completo de voltaje de cerrado a WOT</t>
        </is>
      </c>
      <c r="E15" s="12" t="inlineStr">
        <is>
          <t>0.5V (cerrado) → 4.5V (WOT) — transición PERFECTAMENTE lineal sin saltos</t>
        </is>
      </c>
      <c r="F15" s="30" t="inlineStr">
        <is>
          <t>Dropout: caída instantánea a 0V durante el barrido — micro-corte en pista desgastada</t>
        </is>
      </c>
      <c r="G15" s="3" t="inlineStr">
        <is>
          <t>Rampa lineal sin interrupciones = sano / Picos caídas = dropout = falla</t>
        </is>
      </c>
      <c r="H15" s="26" t="inlineStr">
        <is>
          <t>P0120 / P0220</t>
        </is>
      </c>
      <c r="I15" s="3" t="inlineStr">
        <is>
          <t>El multímetro NO detecta dropouts — solo el osciloscopio a baja velocidad de barrido. Ralentí alto persistente = TPS con dropout en posición de ralentí</t>
        </is>
      </c>
    </row>
    <row r="16" ht="52" customHeight="1">
      <c r="A16" s="10" t="inlineStr">
        <is>
          <t>TPS (Posición Mariposa)</t>
        </is>
      </c>
      <c r="B16" s="4" t="inlineStr">
        <is>
          <t>Efecto Hall — Digital moderno</t>
        </is>
      </c>
      <c r="C16" s="4" t="inlineStr">
        <is>
          <t>Multímetro</t>
        </is>
      </c>
      <c r="D16" s="4" t="inlineStr">
        <is>
          <t>Voltaje en varias posiciones del acelerador</t>
        </is>
      </c>
      <c r="E16" s="13" t="inlineStr">
        <is>
          <t>0.5V cerrado / 2.5V medio / 4.5V WOT — lineal y sin saltos</t>
        </is>
      </c>
      <c r="F16" s="31" t="inlineStr">
        <is>
          <t>Fijo en cualquier posición o saltos bruscos</t>
        </is>
      </c>
      <c r="G16" s="4" t="inlineStr">
        <is>
          <t>N/A — Hall no tiene desgaste de pista</t>
        </is>
      </c>
      <c r="H16" s="27" t="inlineStr">
        <is>
          <t>P0120</t>
        </is>
      </c>
      <c r="I16" s="4" t="inlineStr">
        <is>
          <t>Hall TPS raramente falla por desgaste. Fallas comunes: conector flojo, cortocircuito en cable de señal</t>
        </is>
      </c>
    </row>
    <row r="17" ht="52" customHeight="1">
      <c r="A17" s="9" t="inlineStr">
        <is>
          <t>APP (Pedal Electrónico)</t>
        </is>
      </c>
      <c r="B17" s="3" t="inlineStr">
        <is>
          <t>Dual pista — Redundancia de seguridad</t>
        </is>
      </c>
      <c r="C17" s="3" t="inlineStr">
        <is>
          <t>Multímetro / Osciloscopio — ambos canales</t>
        </is>
      </c>
      <c r="D17" s="3" t="inlineStr">
        <is>
          <t>Pista 1 (principal) y Pista 2 (redundancia) simultáneas</t>
        </is>
      </c>
      <c r="E17" s="12" t="inlineStr">
        <is>
          <t>Pista 1: 0.5-1.0V en reposo / 4.0-4.5V en piso. Pista 2: ~mitad de Pista 1 (0.25-0.5V → 2.0-2.25V) — relación fija siempre</t>
        </is>
      </c>
      <c r="F17" s="30" t="inlineStr">
        <is>
          <t>Si Pista 1 ≠ 2× Pista 2: PCM detecta correlación rota → Limp Home inmediato</t>
        </is>
      </c>
      <c r="G17" s="3" t="inlineStr">
        <is>
          <t>Dos rampas paralelas con relación proporcional constante</t>
        </is>
      </c>
      <c r="H17" s="26" t="inlineStr">
        <is>
          <t>P2135 (Correlación TPS1/TPS2)</t>
        </is>
      </c>
      <c r="I17" s="3" t="inlineStr">
        <is>
          <t>P2135 casi siempre = dropout en una de las dos pistas. Comparar ambas pistas en osciloscopio 2 canales — la que tenga dropout = causa. NO sustituir PCM sin verificar pistas</t>
        </is>
      </c>
    </row>
    <row r="18" ht="52" customHeight="1">
      <c r="A18" s="10" t="inlineStr">
        <is>
          <t>IAC (Control Aire Ralentí)</t>
        </is>
      </c>
      <c r="B18" s="4" t="inlineStr">
        <is>
          <t>Motor paso a paso — 4 ó 6 cables</t>
        </is>
      </c>
      <c r="C18" s="4" t="inlineStr">
        <is>
          <t>Multímetro (Ohmímetro)</t>
        </is>
      </c>
      <c r="D18" s="4" t="inlineStr">
        <is>
          <t>Resistencia de cada bobinado del paso a paso</t>
        </is>
      </c>
      <c r="E18" s="13" t="inlineStr">
        <is>
          <t>20-50 Ω por bobinado (verificar especificación OEM)</t>
        </is>
      </c>
      <c r="F18" s="31" t="inlineStr">
        <is>
          <t>Bobinado en corto (&lt;5Ω) o abierto (∞Ω) = falla mecánica interna</t>
        </is>
      </c>
      <c r="G18" s="4" t="inlineStr">
        <is>
          <t>N/A — prueba estática</t>
        </is>
      </c>
      <c r="H18" s="27" t="inlineStr">
        <is>
          <t>P0505</t>
        </is>
      </c>
      <c r="I18" s="4" t="inlineStr">
        <is>
          <t>Medir entre pares de bobinados. En paso a paso de 4 cables: 2 bobinados. Carbón en la válvula es más común que falla eléctrica — limpiar primero</t>
        </is>
      </c>
    </row>
    <row r="19" ht="52" customHeight="1">
      <c r="A19" s="9" t="inlineStr">
        <is>
          <t>IAC (Control Aire Ralentí)</t>
        </is>
      </c>
      <c r="B19" s="3" t="inlineStr">
        <is>
          <t>Solenoide PWM</t>
        </is>
      </c>
      <c r="C19" s="3" t="inlineStr">
        <is>
          <t>Osciloscopio</t>
        </is>
      </c>
      <c r="D19" s="3" t="inlineStr">
        <is>
          <t>Señal PWM (Duty Cycle %) enviada por PCM</t>
        </is>
      </c>
      <c r="E19" s="12" t="inlineStr">
        <is>
          <t>Ralentí A/C OFF: ~30-40% duty cycle. Ralentí A/C ON: ~50-60% duty cycle</t>
        </is>
      </c>
      <c r="F19" s="30" t="inlineStr">
        <is>
          <t>Señal plana (sin PWM) = PCM no envía señal o driver dañado</t>
        </is>
      </c>
      <c r="G19" s="3" t="inlineStr">
        <is>
          <t>Onda cuadrada a frecuencia fija; ancho del pulso varía con demanda</t>
        </is>
      </c>
      <c r="H19" s="26" t="inlineStr">
        <is>
          <t>P0505</t>
        </is>
      </c>
      <c r="I19" s="3" t="inlineStr">
        <is>
          <t>Si el IAC no responde a PWM: verificar si PCM envía señal antes de sustituir válvula. PCM podría tener driver quemado por bobina IAC en corto</t>
        </is>
      </c>
    </row>
  </sheetData>
  <mergeCells count="1">
    <mergeCell ref="A1:I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20"/>
  <sheetViews>
    <sheetView showGridLines="0" workbookViewId="0">
      <selection activeCell="A1" sqref="A1"/>
    </sheetView>
  </sheetViews>
  <sheetFormatPr baseColWidth="8" defaultRowHeight="15"/>
  <cols>
    <col width="20" customWidth="1" min="1" max="1"/>
    <col width="52" customWidth="1" min="2" max="2"/>
    <col width="22" customWidth="1" min="3" max="3"/>
    <col width="40" customWidth="1" min="4" max="4"/>
    <col width="44" customWidth="1" min="5" max="5"/>
    <col width="22" customWidth="1" min="6" max="6"/>
    <col width="48" customWidth="1" min="7" max="7"/>
    <col width="40" customWidth="1" min="8" max="8"/>
  </cols>
  <sheetData>
    <row r="1" ht="24" customHeight="1">
      <c r="A1" s="1" t="inlineStr">
        <is>
          <t>DTCs DE RENDIMIENTO (Range/Performance) — Metodología PROPARTS MOVIL de Diagnóstico por Señal</t>
        </is>
      </c>
    </row>
    <row r="2" ht="32" customHeight="1">
      <c r="A2" s="2" t="inlineStr">
        <is>
          <t>DTC</t>
        </is>
      </c>
      <c r="B2" s="2" t="inlineStr">
        <is>
          <t>Sensor / Sistema</t>
        </is>
      </c>
      <c r="C2" s="2" t="inlineStr">
        <is>
          <t>Significado Técnico</t>
        </is>
      </c>
      <c r="D2" s="2" t="inlineStr">
        <is>
          <t>Síntoma Principal</t>
        </is>
      </c>
      <c r="E2" s="2" t="inlineStr">
        <is>
          <t>Causa Más Probable</t>
        </is>
      </c>
      <c r="F2" s="2" t="inlineStr">
        <is>
          <t>Herramienta Necesaria</t>
        </is>
      </c>
      <c r="G2" s="2" t="inlineStr">
        <is>
          <t>Procedimiento de Diagnóstico</t>
        </is>
      </c>
      <c r="H2" s="2" t="inlineStr">
        <is>
          <t>Solución / Reparación</t>
        </is>
      </c>
    </row>
    <row r="3" ht="80" customHeight="1">
      <c r="A3" s="16" t="inlineStr">
        <is>
          <t>P0101</t>
        </is>
      </c>
      <c r="B3" s="3" t="inlineStr">
        <is>
          <t>MAF — Flujo de Masa</t>
        </is>
      </c>
      <c r="C3" s="3" t="inlineStr">
        <is>
          <t>Señal de MAF fuera del rango esperado por la PCM para las RPM y TPS actuales. NO es circuito abierto — la señal EXISTE pero es incorrecta</t>
        </is>
      </c>
      <c r="D3" s="3" t="inlineStr">
        <is>
          <t>Humo negro (mezcla rica si MAF lee alto falso) / Tirones y pérdida de potencia (si MAF lee bajo por contaminación) / Ralentí inestable</t>
        </is>
      </c>
      <c r="E3" s="38" t="inlineStr">
        <is>
          <t>MAF contaminado por polvo o aceite en el filamento (causa #1 en México). Fuga de admisión post-MAF. Ground Offset en tierra del sensor (E2G/E2)</t>
        </is>
      </c>
      <c r="F3" s="3" t="inlineStr">
        <is>
          <t>Osciloscopio para verificar calidad de señal. Multímetro para voltaje estático y Ground Offset</t>
        </is>
      </c>
      <c r="G3" s="3" t="inlineStr">
        <is>
          <t>1) Verificar voltaje MAF en ralentí (debe ser 0.8-1.2V analógico). 2) Verificar tierra E2G vs chasis (&lt;0.1V). 3) Limpiar MAF con limpia-MAF aerosol. 4) Re-verificar señal. 5) Si persiste: verificar fugas con vacuómetro</t>
        </is>
      </c>
      <c r="H3" s="12" t="inlineStr">
        <is>
          <t>Limpieza del MAF (80% de los casos resueltos sin reemplazo). Si limpieza no funciona: MAF dañado → sustituir. Verificar filtro de aire — filtro sucio es causa raíz</t>
        </is>
      </c>
    </row>
    <row r="4" ht="80" customHeight="1">
      <c r="A4" s="17" t="inlineStr">
        <is>
          <t>P0106</t>
        </is>
      </c>
      <c r="B4" s="4" t="inlineStr">
        <is>
          <t>MAP — Presión Múltiple</t>
        </is>
      </c>
      <c r="C4" s="4" t="inlineStr">
        <is>
          <t>Señal MAP fuera del rango de presión esperado. PCM compara MAP y MAF — si hay discrepancia constante: P0106</t>
        </is>
      </c>
      <c r="D4" s="4" t="inlineStr">
        <is>
          <t>Ralentí irregular / Fallas de encendido bajo carga / Motor entra en limp mode</t>
        </is>
      </c>
      <c r="E4" s="39" t="inlineStr">
        <is>
          <t>Fuga de vacío entre throttle y bloque motor. Manguera de MAP rota o desconectada. Sensor MAP contaminado (aceite del motor en la manguera de vacío)</t>
        </is>
      </c>
      <c r="F4" s="4" t="inlineStr">
        <is>
          <t>Multímetro para voltaje estático. Bomba de vacío manual para prueba funcional del sensor</t>
        </is>
      </c>
      <c r="G4" s="4" t="inlineStr">
        <is>
          <t>1) Verificar 4.5-4.8V con llave ON motor apagado. 2) Con bomba de vacío manual: aplicar 20 inHg → señal debe bajar a ~1V. 3) Inspeccionar manguera de vacío al MAP. 4) Verificar fugas de admisión</t>
        </is>
      </c>
      <c r="H4" s="13" t="inlineStr">
        <is>
          <t>Reemplazar manguera de vacío si rota. Limpiar puertos de vacío. Sustituir MAP si no responde a prueba con bomba manual</t>
        </is>
      </c>
    </row>
    <row r="5" ht="80" customHeight="1">
      <c r="A5" s="16" t="inlineStr">
        <is>
          <t>P0335</t>
        </is>
      </c>
      <c r="B5" s="3" t="inlineStr">
        <is>
          <t>CKP — Cigüeñal</t>
        </is>
      </c>
      <c r="C5" s="3" t="inlineStr">
        <is>
          <t>PCM no detecta pulsos del CKP. Pérdida total de señal</t>
        </is>
      </c>
      <c r="D5" s="3" t="inlineStr">
        <is>
          <t>Motor no arranca / Se apaga durante conducción / Sin lectura de RPM en escáner</t>
        </is>
      </c>
      <c r="E5" s="38" t="inlineStr">
        <is>
          <t>Sensor dañado. Gap sensor-reluctor incorrecto (&gt;1.5mm). Rueda fónica con diente dañado. Cableado roto. IMPORTANTE: Distribución saltada si ocurre post-mantenimiento</t>
        </is>
      </c>
      <c r="F5" s="3" t="inlineStr">
        <is>
          <t>Osciloscopio (CKP inductivo: verificar amplitud y seno. Hall: verificar onda cuadrada y GAP)</t>
        </is>
      </c>
      <c r="G5" s="3" t="inlineStr">
        <is>
          <t>1) Verificar gap sensor-reluctor (especificación OEM, típico 0.5-1.5mm). 2) CKP inductivo: medir resistencia bobinado. 3) Osciloscopio durante arranque: ¿hay señal? ¿Se ve el diente faltante (GAP)?. 4) Si P0335 post-distribución: verificar tiempo mecánico PRIMERO</t>
        </is>
      </c>
      <c r="H5" s="12" t="inlineStr">
        <is>
          <t>Ajustar gap. Sustituir CKP si señal ausente. Si distribución: verificar marcas de tiempo mecánico antes de arrancar</t>
        </is>
      </c>
    </row>
    <row r="6" ht="80" customHeight="1">
      <c r="A6" s="17" t="inlineStr">
        <is>
          <t>P0340</t>
        </is>
      </c>
      <c r="B6" s="4" t="inlineStr">
        <is>
          <t>CMP — Árbol de Levas</t>
        </is>
      </c>
      <c r="C6" s="4" t="inlineStr">
        <is>
          <t>PCM no recibe señal CMP válida o señal fuera de sincronización con CKP</t>
        </is>
      </c>
      <c r="D6" s="4" t="inlineStr">
        <is>
          <t>Motor arranca difícil / Fallas de encendido / VVTi no funciona / Ralentí inestable</t>
        </is>
      </c>
      <c r="E6" s="39" t="inlineStr">
        <is>
          <t>Sensor CMP dañado. Target wheel (rueda de levas) con daño. Distribución saltada — patrón CKP+CMP desincronizado. Aceite en sello de levas que llega al sensor</t>
        </is>
      </c>
      <c r="F6" s="4" t="inlineStr">
        <is>
          <t>Osciloscopio 2 canales (comparación CKP+CMP simultánea)</t>
        </is>
      </c>
      <c r="G6" s="4" t="inlineStr">
        <is>
          <t>1) Verificar señal CMP básica con osciloscopio (onda cuadrada limpia 5V/0V). 2) Canal 2: señal CKP simultánea. 3) Comparar patrón con especificación OEM. 4) Patrón desfasado = distribución saltada mecánicamente</t>
        </is>
      </c>
      <c r="H6" s="13" t="inlineStr">
        <is>
          <t>Si patrón desfasado: revisar distribución mecánica. Si patrón correcto pero código sigue: CMP dañado → sustituir. Verificar sello de árbol de levas</t>
        </is>
      </c>
    </row>
    <row r="7" ht="80" customHeight="1">
      <c r="A7" s="16" t="inlineStr">
        <is>
          <t>P0120 / P0220</t>
        </is>
      </c>
      <c r="B7" s="3" t="inlineStr">
        <is>
          <t>TPS / APP — Posición Mariposa</t>
        </is>
      </c>
      <c r="C7" s="3" t="inlineStr">
        <is>
          <t>P0120: Circuito TPS 1 fuera de rango. P0220: Circuito TPS 2 fuera de rango. En APP: ambas deben mantener relación de voltaje constante</t>
        </is>
      </c>
      <c r="D7" s="3" t="inlineStr">
        <is>
          <t>Ralentí alto persistente (ej. 2000 RPM en frío que no baja) / Check Engine / Motor en limp mode / Respuesta errática al acelerador</t>
        </is>
      </c>
      <c r="E7" s="38" t="inlineStr">
        <is>
          <t>Desgaste de pista resistiva del potenciómetro TPS (causa #1). Conector con corrosión. Dropouts intermitentes por vibración del motor. En APP moderno: raro — más común conector flojo</t>
        </is>
      </c>
      <c r="F7" s="3" t="inlineStr">
        <is>
          <t>Osciloscopio para detección de dropouts en barrido</t>
        </is>
      </c>
      <c r="G7" s="3" t="inlineStr">
        <is>
          <t>1) Con motor apagado y llave ON: barrer el acelerador LENTAMENTE con osciloscopio. 2) Buscar dropouts (caídas instantáneas a 0V o 5V). 3) Si no hay dropouts: verificar Vref (5V) y tierra. 4) TPS Hall: verificar linealidad de voltaje en múltiples posiciones</t>
        </is>
      </c>
      <c r="H7" s="12" t="inlineStr">
        <is>
          <t>TPS potenciómetro con dropout: sustituir TPS. Hall: revisar cableado. SIEMPRE realizar calibración/reaprendizaje después de sustituir TPS o cuerpo de aceleración</t>
        </is>
      </c>
    </row>
    <row r="8" ht="80" customHeight="1">
      <c r="A8" s="17" t="inlineStr">
        <is>
          <t>P2135</t>
        </is>
      </c>
      <c r="B8" s="4" t="inlineStr">
        <is>
          <t>APP — Correlación TPS1/TPS2</t>
        </is>
      </c>
      <c r="C8" s="4" t="inlineStr">
        <is>
          <t>Relación entre Pista 1 y Pista 2 del pedal electrónico rota. PCM detecta inconsistencia de seguridad → Limp Home INMEDIATO</t>
        </is>
      </c>
      <c r="D8" s="4" t="inlineStr">
        <is>
          <t>Modo de potencia reducida súbito / Aceleración limitada a ~25-30% / Se reactiva el fallo al acelerar</t>
        </is>
      </c>
      <c r="E8" s="39" t="inlineStr">
        <is>
          <t>Dropout en una de las dos pistas. Conector del pedal con pin doblado o corroído. Pedal dañado internamente (menos común). Falla de Vref compartida</t>
        </is>
      </c>
      <c r="F8" s="4" t="inlineStr">
        <is>
          <t>Osciloscopio 2 canales — ambas pistas simultáneas</t>
        </is>
      </c>
      <c r="G8" s="4" t="inlineStr">
        <is>
          <t>1) CH1 = Pista 1 / CH2 = Pista 2. 2) Barrer pedal lentamente observando AMBAS señales. 3) Identificar cuál pista tiene el dropout (la que cae a 0V súbitamente). 4) Esa pista = causa. 5) Verificar conector antes de sustituir pedal</t>
        </is>
      </c>
      <c r="H8" s="13" t="inlineStr">
        <is>
          <t>90% de casos: limpieza de conector o sustitución de pedal. Raramente: Vref compartida con fallo. NUNCA diagnosticar P2135 solo con multímetro</t>
        </is>
      </c>
    </row>
    <row r="9" ht="80" customHeight="1">
      <c r="A9" s="16" t="inlineStr">
        <is>
          <t>P0505</t>
        </is>
      </c>
      <c r="B9" s="3" t="inlineStr">
        <is>
          <t>IAC — Control Ralentí</t>
        </is>
      </c>
      <c r="C9" s="3" t="inlineStr">
        <is>
          <t>Circuito de control de ralentí fuera de rango o sin respuesta</t>
        </is>
      </c>
      <c r="D9" s="3" t="inlineStr">
        <is>
          <t>Ralentí muy bajo o muy alto / Motor se apaga al soltar acelerador / Ralentí errático</t>
        </is>
      </c>
      <c r="E9" s="38" t="inlineStr">
        <is>
          <t>IAC carboneada (causa más común). Paso a paso con bobinado quemado. PCM sin señal PWM (driver dañado). Fuga de vacío que supera capacidad del IAC</t>
        </is>
      </c>
      <c r="F9" s="3" t="inlineStr">
        <is>
          <t>Multímetro (resistencia de bobinados) + Osciloscopio (PWM de la PCM)</t>
        </is>
      </c>
      <c r="G9" s="3" t="inlineStr">
        <is>
          <t>1) Medir resistencia bobinados del paso a paso (20-50Ω c/u). 2) Con motor caliente: escáner debe poder activar IAC en prueba bidireccional. 3) Osciloscopio en el conector: ¿llega PWM de PCM?. 4) Limpiar IAC con limpia-carburador antes de sustituir</t>
        </is>
      </c>
      <c r="H9" s="12" t="inlineStr">
        <is>
          <t>Limpieza de IAC (primer paso). Si bobinado dañado: sustituir IAC. Si sin PWM: verificar cableado. Raramente: driver en PCM dañado por IAC en corto</t>
        </is>
      </c>
    </row>
    <row r="10" ht="80" customHeight="1">
      <c r="A10" s="17" t="inlineStr">
        <is>
          <t>P1346 / P1349</t>
        </is>
      </c>
      <c r="B10" s="4" t="inlineStr">
        <is>
          <t>VVTi (Toyota) — OCV</t>
        </is>
      </c>
      <c r="C10" s="4" t="inlineStr">
        <is>
          <t>Válvula de control de aceite (OCV) de VVTi no puede lograr el avance o retraso esperado por la PCM basándose en señales CKP y CMP</t>
        </is>
      </c>
      <c r="D10" s="4" t="inlineStr">
        <is>
          <t>Reducción notable de potencia a bajas RPM / Consumo elevado / Motor sin par a bajas cargas</t>
        </is>
      </c>
      <c r="E10" s="39" t="inlineStr">
        <is>
          <t>OCV sucia con carbón (aceite sucio es causa raíz). CMP o CKP con señal inconsistente. Aceite del motor fuera de especificación de viscosidad. OCV dañada eléctricamente</t>
        </is>
      </c>
      <c r="F10" s="4" t="inlineStr">
        <is>
          <t>Osciloscopio (verificar CMP+CKP primero). Escáner con bidireccional (activar OCV)</t>
        </is>
      </c>
      <c r="G10" s="4" t="inlineStr">
        <is>
          <t>1) PRIMERO: verificar señal CMP y CKP con osciloscopio — si el patrón está mal, el VVTi no puede funcionar. 2) Medir resistencia OCV (6-8Ω típico). 3) Activar OCV con escáner — verificar respuesta en RPM. 4) Verificar viscosidad del aceite</t>
        </is>
      </c>
      <c r="H10" s="13" t="inlineStr">
        <is>
          <t>Cambio de aceite con viscosidad correcta (primer paso). Limpiar OCV. Si señal CMP/CKP OK y OCV responde pero falla persiste: sustituir OCV. Verificar filtro de aceite OCV (pequeño filtro en galería del árbol de levas)</t>
        </is>
      </c>
    </row>
    <row r="13" ht="20" customHeight="1">
      <c r="A13" s="1" t="inlineStr">
        <is>
          <t>METODOLOGÍA PROPARTS MOVIL — 5 PASOS DE DIAGNÓSTICO POR SEÑAL (Antisustitución)</t>
        </is>
      </c>
    </row>
    <row r="14">
      <c r="A14" s="2" t="inlineStr">
        <is>
          <t>Paso</t>
        </is>
      </c>
      <c r="B14" s="2" t="inlineStr">
        <is>
          <t>Acción</t>
        </is>
      </c>
      <c r="C14" s="2" t="inlineStr">
        <is>
          <t>Herramienta</t>
        </is>
      </c>
      <c r="D14" s="2" t="inlineStr">
        <is>
          <t>Objetivo</t>
        </is>
      </c>
      <c r="E14" s="2" t="inlineStr">
        <is>
          <t>Resultado Esperado</t>
        </is>
      </c>
    </row>
    <row r="15" ht="60" customHeight="1">
      <c r="A15" s="9" t="inlineStr">
        <is>
          <t>1 — Recolección</t>
        </is>
      </c>
      <c r="B15" s="3" t="inlineStr">
        <is>
          <t>Leer todos los DTCs con escáner. Anotar: código, estado (activo/en memoria), freeze frame con RPM/TPS/ECT al momento de la falla</t>
        </is>
      </c>
      <c r="C15" s="3" t="inlineStr">
        <is>
          <t>Escáner OBD2 (ProPart Diagnostic / Autel)</t>
        </is>
      </c>
      <c r="D15" s="3" t="inlineStr">
        <is>
          <t>Obtener mapa inicial de fallas. El freeze frame revela las CONDICIONES en que ocurrió la falla — crucial para fallas intermitentes</t>
        </is>
      </c>
      <c r="E15" s="3" t="inlineStr">
        <is>
          <t>Lista de DTCs con contexto. Freeze frame = pista del momento exacto de la falla</t>
        </is>
      </c>
    </row>
    <row r="16" ht="60" customHeight="1">
      <c r="A16" s="10" t="inlineStr">
        <is>
          <t>2 — Verificación Física</t>
        </is>
      </c>
      <c r="B16" s="4" t="inlineStr">
        <is>
          <t>Inspección visual del sensor: conector, arnés, tierra, estado del sensor. Verificar alimentación Vref (5V) y tierra del sensor (&lt;0.1V entre tierra sensor y chasis)</t>
        </is>
      </c>
      <c r="C16" s="4" t="inlineStr">
        <is>
          <t>Multímetro</t>
        </is>
      </c>
      <c r="D16" s="4" t="inlineStr">
        <is>
          <t>Eliminar fallas obvias antes de usar osciloscopio. Un conector corroído puede simular falla de sensor caro</t>
        </is>
      </c>
      <c r="E16" s="4" t="inlineStr">
        <is>
          <t>Vref presente y tierra limpia = sensor recibe señal correcta. Falla aquí = problema de cableado/masa</t>
        </is>
      </c>
    </row>
    <row r="17" ht="60" customHeight="1">
      <c r="A17" s="9" t="inlineStr">
        <is>
          <t>3 — Prueba Estática</t>
        </is>
      </c>
      <c r="B17" s="3" t="inlineStr">
        <is>
          <t>Medir resistencia del sensor (CKP inductivo, IAC, bobina). Verificar valor de señal con llave ON motor apagado (MAF, MAP, TPS)</t>
        </is>
      </c>
      <c r="C17" s="3" t="inlineStr">
        <is>
          <t>Multímetro</t>
        </is>
      </c>
      <c r="D17" s="3" t="inlineStr">
        <is>
          <t>Confirmar si el sensor responde en condiciones estáticas. MAP debe dar valor barométrico. TPS debe dar 0.5V cerrado</t>
        </is>
      </c>
      <c r="E17" s="3" t="inlineStr">
        <is>
          <t>Valores fuera de rango estático = sensor dañado con alta probabilidad. En rango = falla puede ser dinámica/intermitente</t>
        </is>
      </c>
    </row>
    <row r="18" ht="60" customHeight="1">
      <c r="A18" s="10" t="inlineStr">
        <is>
          <t>4 — Prueba Dinámica</t>
        </is>
      </c>
      <c r="B18" s="4" t="inlineStr">
        <is>
          <t>Conectar osciloscopio al pin de señal del sensor. Observar forma de onda durante arranque, ralentí, aceleración y desaceleración</t>
        </is>
      </c>
      <c r="C18" s="4" t="inlineStr">
        <is>
          <t>Osciloscopio (FNIRSI, Autel, Pico)</t>
        </is>
      </c>
      <c r="D18" s="4" t="inlineStr">
        <is>
          <t>Detectar dropouts, ruido EMI, señal débil, patrón incorrecto CKP/CMP. Solo el osciloscopio revela fallas de rendimiento (P0101, P0106, P0335 verdadero)</t>
        </is>
      </c>
      <c r="E18" s="4" t="inlineStr">
        <is>
          <t>Señal limpia sin interrupciones = sensor sano. Ruido/dropouts/señal débil = causa real identificada</t>
        </is>
      </c>
    </row>
    <row r="19" ht="60" customHeight="1">
      <c r="A19" s="9" t="inlineStr">
        <is>
          <t>5 — Verificación Post-Reparación</t>
        </is>
      </c>
      <c r="B19" s="3" t="inlineStr">
        <is>
          <t>Después de reparación: borrar DTCs, realizar test drive con escáner en monitoreo en vivo. Verificar que el DTC no regresa en el mismo freeze frame</t>
        </is>
      </c>
      <c r="C19" s="3" t="inlineStr">
        <is>
          <t>Escáner con monitoreo en vivo</t>
        </is>
      </c>
      <c r="D19" s="3" t="inlineStr">
        <is>
          <t>Confirmar que la reparación fue efectiva y que no hay causa raíz adicional no detectada</t>
        </is>
      </c>
      <c r="E19" s="3" t="inlineStr">
        <is>
          <t>Sin retorno de DTC después de ciclo de manejo completo (incluir condición de falla original del freeze frame) = reparación exitosa</t>
        </is>
      </c>
    </row>
    <row r="20">
      <c r="A20" s="11" t="n"/>
      <c r="B20" s="11" t="n"/>
      <c r="C20" s="11" t="n"/>
      <c r="D20" s="11" t="n"/>
      <c r="E20" s="11" t="n"/>
    </row>
  </sheetData>
  <mergeCells count="2">
    <mergeCell ref="A13:E13"/>
    <mergeCell ref="A1:H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25"/>
  <sheetViews>
    <sheetView showGridLines="0" workbookViewId="0">
      <selection activeCell="A1" sqref="A1"/>
    </sheetView>
  </sheetViews>
  <sheetFormatPr baseColWidth="8" defaultRowHeight="15"/>
  <cols>
    <col width="24" customWidth="1" min="1" max="1"/>
    <col width="24" customWidth="1" min="2" max="2"/>
    <col width="22" customWidth="1" min="3" max="3"/>
    <col width="22" customWidth="1" min="4" max="4"/>
    <col width="22" customWidth="1" min="5" max="5"/>
    <col width="22" customWidth="1" min="6" max="6"/>
    <col width="40" customWidth="1" min="7" max="7"/>
  </cols>
  <sheetData>
    <row r="1" ht="24" customHeight="1">
      <c r="A1" s="1" t="inlineStr">
        <is>
          <t>PINOUTS FUNCIONALES ECU/PCM — Funciones Críticas + Colores de Cable por Función y Marca</t>
        </is>
      </c>
    </row>
    <row r="2" ht="20" customHeight="1">
      <c r="A2" s="1" t="inlineStr">
        <is>
          <t>FUNCIONES CRÍTICAS EN CUALQUIER ECU/PCM — Localización Independiente de Marca</t>
        </is>
      </c>
    </row>
    <row r="3" ht="44" customHeight="1">
      <c r="A3" s="2" t="inlineStr">
        <is>
          <t>Función del Pin</t>
        </is>
      </c>
      <c r="B3" s="2" t="inlineStr">
        <is>
          <t>Símbolo Común</t>
        </is>
      </c>
      <c r="C3" s="2" t="inlineStr">
        <is>
          <t>Voltaje / Valor</t>
        </is>
      </c>
      <c r="D3" s="2" t="inlineStr">
        <is>
          <t>Prueba con Multímetro</t>
        </is>
      </c>
      <c r="E3" s="2" t="inlineStr">
        <is>
          <t>Prueba con Osciloscopio</t>
        </is>
      </c>
      <c r="F3" s="2" t="inlineStr">
        <is>
          <t>Consecuencia si Falla</t>
        </is>
      </c>
      <c r="G3" s="2" t="inlineStr">
        <is>
          <t>Nota de Seguridad</t>
        </is>
      </c>
    </row>
    <row r="4" ht="44" customHeight="1">
      <c r="A4" s="9" t="inlineStr">
        <is>
          <t>Voltaje de Referencia (Vref)</t>
        </is>
      </c>
      <c r="B4" s="3" t="inlineStr">
        <is>
          <t>Vref / VREF / 5V REF</t>
        </is>
      </c>
      <c r="C4" s="14" t="inlineStr">
        <is>
          <t>5.000V ±0.05V — muy estable</t>
        </is>
      </c>
      <c r="D4" s="3" t="inlineStr">
        <is>
          <t>Medir con llave ON, motor apagado: debe ser exactamente 5.0V sin fluctuación</t>
        </is>
      </c>
      <c r="E4" s="3" t="inlineStr">
        <is>
          <t>N/A — es referencia estática</t>
        </is>
      </c>
      <c r="F4" s="30" t="inlineStr">
        <is>
          <t>Todos los sensores de 3 cables (TPS, MAP, APP) leerán valores incorrectos. MÚLTIPLES DTCs simultáneos apuntando a sensores diferentes = Vref sospechosa</t>
        </is>
      </c>
      <c r="G4" s="3" t="inlineStr">
        <is>
          <t>Vref inestable es síntoma de falla interna de la ECU o cortocircuito en un sensor que carga el bus. Desconectar sensores uno por uno para identificar el que carga el Vref</t>
        </is>
      </c>
    </row>
    <row r="5" ht="44" customHeight="1">
      <c r="A5" s="10" t="inlineStr">
        <is>
          <t>Tierra Lógica / Señal del Sensor</t>
        </is>
      </c>
      <c r="B5" s="4" t="inlineStr">
        <is>
          <t>E2 / E2G / Sensor GND / SGND</t>
        </is>
      </c>
      <c r="C5" s="15" t="inlineStr">
        <is>
          <t>0V — sin diferencia con borne negativo batería</t>
        </is>
      </c>
      <c r="D5" s="4" t="inlineStr">
        <is>
          <t>Medir entre E2 y borne (-) de batería: debe ser &lt;100mV (0.1V)</t>
        </is>
      </c>
      <c r="E5" s="4" t="inlineStr">
        <is>
          <t>N/A — tierra estática</t>
        </is>
      </c>
      <c r="F5" s="31" t="inlineStr">
        <is>
          <t>Ground Offset contamina señal de todos los sensores compartiendo esa tierra. Causa DTCs de rendimiento (P0101, P0106) sin componentes dañados</t>
        </is>
      </c>
      <c r="G5" s="4" t="inlineStr">
        <is>
          <t>Tierra de sensor SEPARADA de tierra de chasis en la mayoría de ECUs. No confundir ni puentear</t>
        </is>
      </c>
    </row>
    <row r="6" ht="44" customHeight="1">
      <c r="A6" s="9" t="inlineStr">
        <is>
          <t>Alimentación de Batería Constante (KL30)</t>
        </is>
      </c>
      <c r="B6" s="3" t="inlineStr">
        <is>
          <t>BATT+ / B+ / VBB / KL30</t>
        </is>
      </c>
      <c r="C6" s="14" t="inlineStr">
        <is>
          <t>12V–14.5V siempre — sin llave</t>
        </is>
      </c>
      <c r="D6" s="3" t="inlineStr">
        <is>
          <t>Medir: debe tener voltaje aun con llave apagada</t>
        </is>
      </c>
      <c r="E6" s="3" t="inlineStr">
        <is>
          <t>N/A</t>
        </is>
      </c>
      <c r="F6" s="30" t="inlineStr">
        <is>
          <t>ECU pierde memoria de adaptaciones, codificaciones y DTCs — reset completo al perder este voltaje</t>
        </is>
      </c>
      <c r="G6" s="3" t="inlineStr">
        <is>
          <t>Mantener la batería conectada al programar o reemplazar ECU. Caída de esta tensión durante flash = ECU corrupta</t>
        </is>
      </c>
    </row>
    <row r="7" ht="44" customHeight="1">
      <c r="A7" s="10" t="inlineStr">
        <is>
          <t>Ignición (Switched +12V) — KL15</t>
        </is>
      </c>
      <c r="B7" s="4" t="inlineStr">
        <is>
          <t>IGN / KOEO / KL15 / SWITCHED +12V</t>
        </is>
      </c>
      <c r="C7" s="15" t="inlineStr">
        <is>
          <t>12V solo con llave en ON</t>
        </is>
      </c>
      <c r="D7" s="4" t="inlineStr">
        <is>
          <t>Con llave OFF = 0V. Con llave ON = 12V. Sin ello = ECU no despierta</t>
        </is>
      </c>
      <c r="E7" s="4" t="inlineStr">
        <is>
          <t>N/A</t>
        </is>
      </c>
      <c r="F7" s="31" t="inlineStr">
        <is>
          <t>ECU no arranca. Motor no enciende. Sin comunicación con escáner</t>
        </is>
      </c>
      <c r="G7" s="4" t="inlineStr">
        <is>
          <t>Verificar antes de diagnosticar ECU muerta — muchas veces el fusible de KL15 está quemado</t>
        </is>
      </c>
    </row>
    <row r="8" ht="44" customHeight="1">
      <c r="A8" s="9" t="inlineStr">
        <is>
          <t>Tierras de Potencia ECU</t>
        </is>
      </c>
      <c r="B8" s="3" t="inlineStr">
        <is>
          <t>PWR GND / EARTH / KL31</t>
        </is>
      </c>
      <c r="C8" s="14" t="inlineStr">
        <is>
          <t>0V — referencia para potencia de salida</t>
        </is>
      </c>
      <c r="D8" s="3" t="inlineStr">
        <is>
          <t>Caída de voltaje entre tierra ECU y batería: &lt;100mV con motor corriendo</t>
        </is>
      </c>
      <c r="E8" s="3" t="inlineStr">
        <is>
          <t>N/A</t>
        </is>
      </c>
      <c r="F8" s="30" t="inlineStr">
        <is>
          <t>Tierra de potencia alta = actuadores (inyectores, bobinas) funcionan incorrectamente o la ECU se calienta</t>
        </is>
      </c>
      <c r="G8" s="3" t="inlineStr">
        <is>
          <t>Puntos de tierra de potencia SEPARADOS de tierras de señal. Corrosión en estos puntos = daño a drivers de potencia de la ECU</t>
        </is>
      </c>
    </row>
    <row r="9" ht="44" customHeight="1">
      <c r="A9" s="10" t="inlineStr">
        <is>
          <t>CAN Bus High</t>
        </is>
      </c>
      <c r="B9" s="4" t="inlineStr">
        <is>
          <t>CAN-H / CAN HIGH</t>
        </is>
      </c>
      <c r="C9" s="15" t="inlineStr">
        <is>
          <t>2.5V en reposo → 3.5V activo (picos dominantes)</t>
        </is>
      </c>
      <c r="D9" s="4" t="inlineStr">
        <is>
          <t>Entre pin 6 OBD2 y tierra: 2.5V reposo</t>
        </is>
      </c>
      <c r="E9" s="4" t="inlineStr">
        <is>
          <t>Diferencial: CAN-H y CAN-L deben ser imágenes espejo. Resistencia entre ambas (batería desconectada): 60Ω (dos resistencias de 120Ω en paralelo)</t>
        </is>
      </c>
      <c r="F9" s="31" t="inlineStr">
        <is>
          <t>Sin CAN-H = bus caído = todos los módulos del bus pierden comunicación simultáneamente</t>
        </is>
      </c>
      <c r="G9" s="4" t="inlineStr">
        <is>
          <t>Corto de CAN-H a positivo (12V) = destruye transceptores CAN de todos los módulos en ese bus. Verificar ANTES de energizar</t>
        </is>
      </c>
    </row>
    <row r="10" ht="44" customHeight="1">
      <c r="A10" s="9" t="inlineStr">
        <is>
          <t>CAN Bus Low</t>
        </is>
      </c>
      <c r="B10" s="3" t="inlineStr">
        <is>
          <t>CAN-L / CAN LOW</t>
        </is>
      </c>
      <c r="C10" s="14" t="inlineStr">
        <is>
          <t>2.5V en reposo → 1.5V activo (picos dominantes)</t>
        </is>
      </c>
      <c r="D10" s="3" t="inlineStr">
        <is>
          <t>Entre pin 14 OBD2 y tierra: 2.5V reposo</t>
        </is>
      </c>
      <c r="E10" s="3" t="inlineStr">
        <is>
          <t>Ver CAN-H — par diferencial</t>
        </is>
      </c>
      <c r="F10" s="30" t="inlineStr">
        <is>
          <t>Sin CAN-L = mismo efecto que sin CAN-H</t>
        </is>
      </c>
      <c r="G10" s="3" t="inlineStr">
        <is>
          <t>Corto de CAN-L a masa = bus bloqueado. La señal diferencial CAN-H menos CAN-L debe ser 2V en bits dominantes</t>
        </is>
      </c>
    </row>
    <row r="11" ht="44" customHeight="1">
      <c r="A11" s="10" t="inlineStr">
        <is>
          <t>Señal de Salida Inyector (Low Side)</t>
        </is>
      </c>
      <c r="B11" s="4" t="inlineStr">
        <is>
          <t>INJ1 / #10 / INJECTR1</t>
        </is>
      </c>
      <c r="C11" s="15" t="inlineStr">
        <is>
          <t>12V en reposo → 0V en pulso (la ECU jala a tierra)</t>
        </is>
      </c>
      <c r="D11" s="4" t="inlineStr">
        <is>
          <t>12V con llave ON sin pulsos = normal. 0V fijo = corto en inyector o driver ECU quemado</t>
        </is>
      </c>
      <c r="E11" s="4" t="inlineStr">
        <is>
          <t>Pulso a tierra de duración variable (pulse width) — ancho del pulso = tiempo de inyección en ms</t>
        </is>
      </c>
      <c r="F11" s="31" t="inlineStr">
        <is>
          <t>Sin pulso = motor no arranca. Pulso permanente en 0V = inyector permanentemente abierto (inundación)</t>
        </is>
      </c>
      <c r="G11" s="4" t="inlineStr">
        <is>
          <t>NUNCA puentear pin de inyector a tierra para probarlo — destruye el driver low-side de la ECU. Usar inyector conocido o lamp de prueba de 12V</t>
        </is>
      </c>
    </row>
    <row r="12" ht="44" customHeight="1">
      <c r="A12" s="9" t="inlineStr">
        <is>
          <t>Señal de Salida Bobina (Ignición)</t>
        </is>
      </c>
      <c r="B12" s="3" t="inlineStr">
        <is>
          <t>IGT / COIL / IGN OUT</t>
        </is>
      </c>
      <c r="C12" s="14" t="inlineStr">
        <is>
          <t>5V en reposo → pulso a 0V (señal de gatillo)</t>
        </is>
      </c>
      <c r="D12" s="3" t="inlineStr">
        <is>
          <t>5V con llave ON = normal. 0V fijo = driver quemado</t>
        </is>
      </c>
      <c r="E12" s="3" t="inlineStr">
        <is>
          <t>Pulsos cuadrados sincronizados con CKP — verificar timing de encendido</t>
        </is>
      </c>
      <c r="F12" s="30" t="inlineStr">
        <is>
          <t>Sin pulso = sin chispa. Motor puede girar pero no enciende</t>
        </is>
      </c>
      <c r="G12" s="3" t="inlineStr">
        <is>
          <t>El driver de bobina en PCM se daña si la bobina tiene primario en corto (&lt;0.3Ω). Medir resistencia de bobina ANTES de conectar PCM nueva</t>
        </is>
      </c>
    </row>
    <row r="13" ht="44" customHeight="1">
      <c r="A13" s="11" t="n"/>
      <c r="B13" s="11" t="n"/>
      <c r="C13" s="11" t="n"/>
      <c r="D13" s="11" t="n"/>
      <c r="E13" s="11" t="n"/>
      <c r="F13" s="11" t="n"/>
      <c r="G13" s="11" t="n"/>
    </row>
    <row r="14" ht="44" customHeight="1">
      <c r="A14" s="1" t="inlineStr">
        <is>
          <t>CONVENCIONES DE COLOR DE CABLE POR FUNCIÓN — Por Marca y Estándar Regional</t>
        </is>
      </c>
    </row>
    <row r="15" ht="44" customHeight="1">
      <c r="A15" s="2" t="inlineStr">
        <is>
          <t>Función del Cable</t>
        </is>
      </c>
      <c r="B15" s="2" t="inlineStr">
        <is>
          <t>Color — VW/Audi (DIN)</t>
        </is>
      </c>
      <c r="C15" s="2" t="inlineStr">
        <is>
          <t>Color — Toyota/Nissan/Honda</t>
        </is>
      </c>
      <c r="D15" s="2" t="inlineStr">
        <is>
          <t>Color — Ford/GM Americano</t>
        </is>
      </c>
      <c r="E15" s="2" t="inlineStr">
        <is>
          <t>Color — BMW WDS</t>
        </is>
      </c>
      <c r="F15" s="2" t="inlineStr">
        <is>
          <t>Verificación</t>
        </is>
      </c>
      <c r="G15" s="2" t="inlineStr">
        <is>
          <t>Nota Crítica</t>
        </is>
      </c>
    </row>
    <row r="16" ht="44" customHeight="1">
      <c r="A16" s="9" t="inlineStr">
        <is>
          <t>Tierra / Masa (GND)</t>
        </is>
      </c>
      <c r="B16" s="3" t="inlineStr">
        <is>
          <t>Marrón (BR) — estándar absoluto VAG</t>
        </is>
      </c>
      <c r="C16" s="3" t="inlineStr">
        <is>
          <t>Negro (B) o Negro/Blanco (B-W)</t>
        </is>
      </c>
      <c r="D16" s="3" t="inlineStr">
        <is>
          <t>Negro (BK) — tierra de chasis / Negro/Blanco = tierra de señal</t>
        </is>
      </c>
      <c r="E16" s="3" t="inlineStr">
        <is>
          <t>SW (Schwarz = Negro) / Marrón para masa de señal</t>
        </is>
      </c>
      <c r="F16" s="3" t="inlineStr">
        <is>
          <t>Continuidad &lt;0.5Ω al borne (–) batería</t>
        </is>
      </c>
      <c r="G16" s="34" t="inlineStr">
        <is>
          <t>El marrón en VAG es SIEMPRE masa — nunca confundir con cable de señal en otros sistemas</t>
        </is>
      </c>
    </row>
    <row r="17" ht="44" customHeight="1">
      <c r="A17" s="10" t="inlineStr">
        <is>
          <t>Alimentación constante +12V (KL30)</t>
        </is>
      </c>
      <c r="B17" s="4" t="inlineStr">
        <is>
          <t>Rojo (RO) — siempre positivo en VAG</t>
        </is>
      </c>
      <c r="C17" s="4" t="inlineStr">
        <is>
          <t>Rojo (R) o Rojo/Blanco (R-W)</t>
        </is>
      </c>
      <c r="D17" s="39" t="inlineStr">
        <is>
          <t>Naranja (OG/O) en GM LS PCM / Rojo/Azul en Ford</t>
        </is>
      </c>
      <c r="E17" s="4" t="inlineStr">
        <is>
          <t>RT (Rot = Rojo)</t>
        </is>
      </c>
      <c r="F17" s="4" t="inlineStr">
        <is>
          <t>12V siempre, incluso con llave apagada</t>
        </is>
      </c>
      <c r="G17" s="35" t="inlineStr">
        <is>
          <t>Rojo en VAG = positivo. En Toyota el rojo puede ser señal también — siempre consultar diagrama OEM</t>
        </is>
      </c>
    </row>
    <row r="18" ht="44" customHeight="1">
      <c r="A18" s="9" t="inlineStr">
        <is>
          <t>Ignición +12V bajo llave (KL15)</t>
        </is>
      </c>
      <c r="B18" s="3" t="inlineStr">
        <is>
          <t>Negro/Verde (BK/GN) o Negro/Rojo</t>
        </is>
      </c>
      <c r="C18" s="3" t="inlineStr">
        <is>
          <t>Blanco/Rojo (W-R) en Toyota / Variable en Nissan</t>
        </is>
      </c>
      <c r="D18" s="3" t="inlineStr">
        <is>
          <t>Rosa (PK) en GM LS PCM conectores / Negro/Blanco en Ford PCM</t>
        </is>
      </c>
      <c r="E18" s="3" t="inlineStr">
        <is>
          <t>GN/RT (Verde/Rojo) o BL (Azul) según modelo</t>
        </is>
      </c>
      <c r="F18" s="3" t="inlineStr">
        <is>
          <t>12V solo con llave ON — 0V con llave apagada</t>
        </is>
      </c>
      <c r="G18" s="34" t="inlineStr">
        <is>
          <t>La terminología KL15 viene de DIN 72552. En Ford y GM no usan terminología KL — identificar por función</t>
        </is>
      </c>
    </row>
    <row r="19" ht="44" customHeight="1">
      <c r="A19" s="10" t="inlineStr">
        <is>
          <t>Voltaje de Referencia 5V (Vref)</t>
        </is>
      </c>
      <c r="B19" s="4" t="inlineStr">
        <is>
          <t>Gris claro o Gris/Rojo en VAG</t>
        </is>
      </c>
      <c r="C19" s="4" t="inlineStr">
        <is>
          <t>Gris claro (GR) en Toyota — a menudo con traza de color</t>
        </is>
      </c>
      <c r="D19" s="39" t="inlineStr">
        <is>
          <t>Gris/Blanco o Naranja en Ford PCM / Naranja en LS-PCM GM</t>
        </is>
      </c>
      <c r="E19" s="4" t="inlineStr">
        <is>
          <t>GR (Grau = Gris)</t>
        </is>
      </c>
      <c r="F19" s="4" t="inlineStr">
        <is>
          <t>Exactamente 5.00V con llave ON — motor apagado</t>
        </is>
      </c>
      <c r="G19" s="35" t="inlineStr">
        <is>
          <t>El Vref en VAG se llama 'Referenciación' en los diagramas Current Track. La ausencia de Vref = falla interna de ECU o sensor en corto</t>
        </is>
      </c>
    </row>
    <row r="20" ht="44" customHeight="1">
      <c r="A20" s="9" t="inlineStr">
        <is>
          <t>Señal de Sensor (variable)</t>
        </is>
      </c>
      <c r="B20" s="3" t="inlineStr">
        <is>
          <t>Azul (BL) o Verde (GN) con trazas de color para diferenciar</t>
        </is>
      </c>
      <c r="C20" s="3" t="inlineStr">
        <is>
          <t>Verde (G) / Amarillo (Y) / Azul (L) — primera letra = base, segunda = traza</t>
        </is>
      </c>
      <c r="D20" s="3" t="inlineStr">
        <is>
          <t>Azul (BL) / Verde (DG/LG) / Amarillo (YE) — colores de señal</t>
        </is>
      </c>
      <c r="E20" s="3" t="inlineStr">
        <is>
          <t>BL (Blau = Azul) / GN (Grün = Verde)</t>
        </is>
      </c>
      <c r="F20" s="3" t="inlineStr">
        <is>
          <t>Voltaje variable según condición — depende del sensor</t>
        </is>
      </c>
      <c r="G20" s="34" t="inlineStr">
        <is>
          <t>Los colores de señal son los MÁS VARIABLES entre marcas. NUNCA suponer — siempre usar diagrama OEM o software (Mitchell/ALLDATA)</t>
        </is>
      </c>
    </row>
    <row r="21" ht="44" customHeight="1">
      <c r="A21" s="10" t="inlineStr">
        <is>
          <t>Tierra de Señal del Sensor (separada)</t>
        </is>
      </c>
      <c r="B21" s="4" t="inlineStr">
        <is>
          <t>Marrón claro o Marrón/Blanco en VAG — distinto al marrón de potencia</t>
        </is>
      </c>
      <c r="C21" s="4" t="inlineStr">
        <is>
          <t>Negro (B) en Toyota — diferenciado del chasis por ubicación en conector</t>
        </is>
      </c>
      <c r="D21" s="4" t="inlineStr">
        <is>
          <t>Negro/Blanco (BK/W) — tierra lógica vs tierra de chasis</t>
        </is>
      </c>
      <c r="E21" s="4" t="inlineStr">
        <is>
          <t>BR/WS (Marrón/Blanco) para tierra de señal en BMW</t>
        </is>
      </c>
      <c r="F21" s="4" t="inlineStr">
        <is>
          <t>&lt;100mV entre esta tierra y borne (–) batería — caída máxima</t>
        </is>
      </c>
      <c r="G21" s="35" t="inlineStr">
        <is>
          <t>Esta tierra NUNCA debe puentearse a chasis directamente — daña el retorno de señal de bajo ruido de la ECU</t>
        </is>
      </c>
    </row>
    <row r="22" ht="44" customHeight="1">
      <c r="A22" s="9" t="inlineStr">
        <is>
          <t>CAN Bus High</t>
        </is>
      </c>
      <c r="B22" s="3" t="inlineStr">
        <is>
          <t>Amarillo (YE) en VAG — par trenzado</t>
        </is>
      </c>
      <c r="C22" s="3" t="inlineStr">
        <is>
          <t>Blanco/Azul o Cable específico CAN marcado</t>
        </is>
      </c>
      <c r="D22" s="38" t="inlineStr">
        <is>
          <t>Naranja/Blanco en Ford CANBUS</t>
        </is>
      </c>
      <c r="E22" s="38" t="inlineStr">
        <is>
          <t>OR (Orange/Naranja) para CAN-H en BMW</t>
        </is>
      </c>
      <c r="F22" s="3" t="inlineStr">
        <is>
          <t>2.5V reposo → 3.5V activo. Resistencia al CAN-L: 60Ω (batt desconectada)</t>
        </is>
      </c>
      <c r="G22" s="34" t="inlineStr">
        <is>
          <t>Los pares CAN DEBEN ir trenzados — si se cortan y empalman sin trenzar: interferencia EMI = errores intermitentes en todo el bus</t>
        </is>
      </c>
    </row>
    <row r="23" ht="44" customHeight="1">
      <c r="A23" s="10" t="inlineStr">
        <is>
          <t>CAN Bus Low</t>
        </is>
      </c>
      <c r="B23" s="4" t="inlineStr">
        <is>
          <t>Verde (GN) en VAG — par trenzado con CAN-H amarillo</t>
        </is>
      </c>
      <c r="C23" s="4" t="inlineStr">
        <is>
          <t>Azul/Blanco o par con CAN-H</t>
        </is>
      </c>
      <c r="D23" s="39" t="inlineStr">
        <is>
          <t>Naranja/Negro en Ford CANBUS</t>
        </is>
      </c>
      <c r="E23" s="4" t="inlineStr">
        <is>
          <t>WS (Weiss/Blanco) para CAN-L en BMW</t>
        </is>
      </c>
      <c r="F23" s="4" t="inlineStr">
        <is>
          <t>2.5V reposo → 1.5V activo. Par diferencial con CAN-H</t>
        </is>
      </c>
      <c r="G23" s="35" t="inlineStr">
        <is>
          <t>El par CAN-H y CAN-L SIEMPRE va junto — nunca separar los cables del par en el arnés</t>
        </is>
      </c>
    </row>
    <row r="24" ht="44" customHeight="1">
      <c r="A24" s="9" t="inlineStr">
        <is>
          <t>Alta Tensión EV/HEV (HV)</t>
        </is>
      </c>
      <c r="B24" s="38" t="inlineStr">
        <is>
          <t>Naranja — ESTÁNDAR GLOBAL ISO 6469</t>
        </is>
      </c>
      <c r="C24" s="38" t="inlineStr">
        <is>
          <t>Naranja — Toyota/Lexus híbridos</t>
        </is>
      </c>
      <c r="D24" s="38" t="inlineStr">
        <is>
          <t>Naranja — Ford Mach-E, Explorer PHEV</t>
        </is>
      </c>
      <c r="E24" s="38" t="inlineStr">
        <is>
          <t>Naranja — BMW iX, i4, i3</t>
        </is>
      </c>
      <c r="F24" s="3" t="inlineStr">
        <is>
          <t>NUNCA tocar sin equipo de protección HV — voltaje 400V-800V DC</t>
        </is>
      </c>
      <c r="G24" s="38" t="inlineStr">
        <is>
          <t>Naranja en vehículo eléctrico/híbrido = ALTA TENSIÓN. Intervención solo tras procedimiento de desenergizado (HVIL abierto). Guantes HV de 1000V mínimo</t>
        </is>
      </c>
    </row>
    <row r="25" ht="44" customHeight="1">
      <c r="A25" s="11" t="n"/>
      <c r="B25" s="11" t="n"/>
      <c r="C25" s="11" t="n"/>
      <c r="D25" s="11" t="n"/>
      <c r="E25" s="11" t="n"/>
      <c r="F25" s="11" t="n"/>
      <c r="G25" s="11" t="n"/>
    </row>
    <row r="26" ht="44" customHeight="1"/>
    <row r="27" ht="44" customHeight="1"/>
    <row r="28" ht="44" customHeight="1"/>
    <row r="29" ht="44" customHeight="1"/>
    <row r="30" ht="44" customHeight="1"/>
    <row r="31" ht="44" customHeight="1"/>
    <row r="32" ht="44" customHeight="1"/>
    <row r="33" ht="44" customHeight="1"/>
    <row r="34" ht="44" customHeight="1"/>
    <row r="35" ht="44" customHeight="1"/>
    <row r="36" ht="44" customHeight="1"/>
    <row r="37" ht="44" customHeight="1"/>
    <row r="38" ht="44" customHeight="1"/>
    <row r="39" ht="44" customHeight="1"/>
    <row r="40" ht="44" customHeight="1"/>
    <row r="41" ht="44" customHeight="1"/>
    <row r="42" ht="44" customHeight="1"/>
    <row r="43" ht="44" customHeight="1"/>
    <row r="44" ht="44" customHeight="1"/>
    <row r="45" ht="44" customHeight="1"/>
    <row r="46" ht="44" customHeight="1"/>
    <row r="47" ht="44" customHeight="1"/>
    <row r="48" ht="44" customHeight="1"/>
    <row r="49" ht="44" customHeight="1"/>
    <row r="50" ht="44" customHeight="1"/>
    <row r="51" ht="44" customHeight="1"/>
    <row r="52" ht="44" customHeight="1"/>
    <row r="53" ht="44" customHeight="1"/>
    <row r="54" ht="44" customHeight="1"/>
    <row r="55" ht="44" customHeight="1"/>
    <row r="56" ht="44" customHeight="1"/>
    <row r="57" ht="44" customHeight="1"/>
    <row r="58" ht="44" customHeight="1"/>
    <row r="59" ht="44" customHeight="1"/>
    <row r="60" ht="44" customHeight="1"/>
    <row r="61" ht="44" customHeight="1"/>
    <row r="62" ht="44" customHeight="1"/>
    <row r="63" ht="44" customHeight="1"/>
    <row r="64" ht="44" customHeight="1"/>
    <row r="65" ht="44" customHeight="1"/>
    <row r="66" ht="44" customHeight="1"/>
    <row r="67" ht="44" customHeight="1"/>
    <row r="68" ht="44" customHeight="1"/>
    <row r="69" ht="44" customHeight="1"/>
    <row r="70" ht="44" customHeight="1"/>
    <row r="71" ht="44" customHeight="1"/>
    <row r="72" ht="44" customHeight="1"/>
    <row r="73" ht="44" customHeight="1"/>
    <row r="74" ht="44" customHeight="1"/>
    <row r="75" ht="44" customHeight="1"/>
    <row r="76" ht="44" customHeight="1"/>
    <row r="77" ht="44" customHeight="1"/>
    <row r="78" ht="44" customHeight="1"/>
    <row r="79" ht="44" customHeight="1"/>
    <row r="80" ht="44" customHeight="1"/>
    <row r="81" ht="44" customHeight="1"/>
    <row r="82" ht="44" customHeight="1"/>
    <row r="83" ht="44" customHeight="1"/>
    <row r="84" ht="44" customHeight="1"/>
    <row r="85" ht="44" customHeight="1"/>
    <row r="86" ht="44" customHeight="1"/>
    <row r="87" ht="44" customHeight="1"/>
    <row r="88" ht="44" customHeight="1"/>
    <row r="89" ht="44" customHeight="1"/>
    <row r="90" ht="44" customHeight="1"/>
    <row r="91" ht="44" customHeight="1"/>
    <row r="92" ht="44" customHeight="1"/>
    <row r="93" ht="44" customHeight="1"/>
    <row r="94" ht="44" customHeight="1"/>
    <row r="95" ht="44" customHeight="1"/>
    <row r="96" ht="44" customHeight="1"/>
    <row r="97" ht="44" customHeight="1"/>
    <row r="98" ht="44" customHeight="1"/>
    <row r="99" ht="44" customHeight="1"/>
    <row r="100" ht="44" customHeight="1"/>
    <row r="101" ht="44" customHeight="1"/>
    <row r="102" ht="44" customHeight="1"/>
    <row r="103" ht="44" customHeight="1"/>
    <row r="104" ht="44" customHeight="1"/>
    <row r="105" ht="44" customHeight="1"/>
    <row r="106" ht="44" customHeight="1"/>
    <row r="107" ht="44" customHeight="1"/>
    <row r="108" ht="44" customHeight="1"/>
    <row r="109" ht="44" customHeight="1"/>
    <row r="110" ht="44" customHeight="1"/>
    <row r="111" ht="44" customHeight="1"/>
    <row r="112" ht="44" customHeight="1"/>
    <row r="113" ht="44" customHeight="1"/>
    <row r="114" ht="44" customHeight="1"/>
    <row r="115" ht="44" customHeight="1"/>
    <row r="116" ht="44" customHeight="1"/>
    <row r="117" ht="44" customHeight="1"/>
    <row r="118" ht="44" customHeight="1"/>
    <row r="119" ht="44" customHeight="1"/>
    <row r="120" ht="44" customHeight="1"/>
    <row r="121" ht="44" customHeight="1"/>
    <row r="122" ht="44" customHeight="1"/>
    <row r="123" ht="44" customHeight="1"/>
    <row r="124" ht="44" customHeight="1"/>
    <row r="125" ht="44" customHeight="1"/>
    <row r="126" ht="44" customHeight="1"/>
    <row r="127" ht="44" customHeight="1"/>
    <row r="128" ht="44" customHeight="1"/>
    <row r="129" ht="44" customHeight="1"/>
    <row r="130" ht="44" customHeight="1"/>
    <row r="131" ht="44" customHeight="1"/>
    <row r="132" ht="44" customHeight="1"/>
    <row r="133" ht="44" customHeight="1"/>
    <row r="134" ht="44" customHeight="1"/>
    <row r="135" ht="44" customHeight="1"/>
    <row r="136" ht="44" customHeight="1"/>
    <row r="137" ht="44" customHeight="1"/>
    <row r="138" ht="44" customHeight="1"/>
    <row r="139" ht="44" customHeight="1"/>
    <row r="140" ht="44" customHeight="1"/>
    <row r="141" ht="44" customHeight="1"/>
    <row r="142" ht="44" customHeight="1"/>
    <row r="143" ht="44" customHeight="1"/>
    <row r="144" ht="44" customHeight="1"/>
    <row r="145" ht="44" customHeight="1"/>
    <row r="146" ht="44" customHeight="1"/>
    <row r="147" ht="44" customHeight="1"/>
    <row r="148" ht="44" customHeight="1"/>
    <row r="149" ht="44" customHeight="1"/>
    <row r="150" ht="44" customHeight="1"/>
    <row r="151" ht="44" customHeight="1"/>
    <row r="152" ht="44" customHeight="1"/>
    <row r="153" ht="44" customHeight="1"/>
    <row r="154" ht="44" customHeight="1"/>
    <row r="155" ht="44" customHeight="1"/>
    <row r="156" ht="44" customHeight="1"/>
    <row r="157" ht="44" customHeight="1"/>
    <row r="158" ht="44" customHeight="1"/>
    <row r="159" ht="44" customHeight="1"/>
    <row r="160" ht="44" customHeight="1"/>
    <row r="161" ht="44" customHeight="1"/>
    <row r="162" ht="44" customHeight="1"/>
    <row r="163" ht="44" customHeight="1"/>
    <row r="164" ht="44" customHeight="1"/>
    <row r="165" ht="44" customHeight="1"/>
    <row r="166" ht="44" customHeight="1"/>
    <row r="167" ht="44" customHeight="1"/>
    <row r="168" ht="44" customHeight="1"/>
    <row r="169" ht="44" customHeight="1"/>
    <row r="170" ht="44" customHeight="1"/>
    <row r="171" ht="44" customHeight="1"/>
    <row r="172" ht="44" customHeight="1"/>
    <row r="173" ht="44" customHeight="1"/>
    <row r="174" ht="44" customHeight="1"/>
    <row r="175" ht="44" customHeight="1"/>
    <row r="176" ht="44" customHeight="1"/>
    <row r="177" ht="44" customHeight="1"/>
    <row r="178" ht="44" customHeight="1"/>
    <row r="179" ht="44" customHeight="1"/>
    <row r="180" ht="44" customHeight="1"/>
    <row r="181" ht="44" customHeight="1"/>
    <row r="182" ht="44" customHeight="1"/>
    <row r="183" ht="44" customHeight="1"/>
    <row r="184" ht="44" customHeight="1"/>
    <row r="185" ht="44" customHeight="1"/>
    <row r="186" ht="44" customHeight="1"/>
    <row r="187" ht="44" customHeight="1"/>
    <row r="188" ht="44" customHeight="1"/>
    <row r="189" ht="44" customHeight="1"/>
    <row r="190" ht="44" customHeight="1"/>
    <row r="191" ht="44" customHeight="1"/>
    <row r="192" ht="44" customHeight="1"/>
    <row r="193" ht="44" customHeight="1"/>
    <row r="194" ht="44" customHeight="1"/>
    <row r="195" ht="44" customHeight="1"/>
    <row r="196" ht="44" customHeight="1"/>
    <row r="197" ht="44" customHeight="1"/>
    <row r="198" ht="44" customHeight="1"/>
    <row r="199" ht="44" customHeight="1"/>
    <row r="200" ht="44" customHeight="1"/>
    <row r="201" ht="44" customHeight="1"/>
    <row r="202" ht="44" customHeight="1"/>
    <row r="203" ht="44" customHeight="1"/>
    <row r="204" ht="44" customHeight="1"/>
    <row r="205" ht="44" customHeight="1"/>
    <row r="206" ht="44" customHeight="1"/>
    <row r="207" ht="44" customHeight="1"/>
    <row r="208" ht="44" customHeight="1"/>
    <row r="209" ht="44" customHeight="1"/>
    <row r="210" ht="44" customHeight="1"/>
    <row r="211" ht="44" customHeight="1"/>
    <row r="212" ht="44" customHeight="1"/>
    <row r="213" ht="44" customHeight="1"/>
    <row r="214" ht="44" customHeight="1"/>
    <row r="215" ht="44" customHeight="1"/>
    <row r="216" ht="44" customHeight="1"/>
    <row r="217" ht="44" customHeight="1"/>
    <row r="218" ht="44" customHeight="1"/>
    <row r="219" ht="44" customHeight="1"/>
    <row r="220" ht="44" customHeight="1"/>
    <row r="221" ht="44" customHeight="1"/>
    <row r="222" ht="44" customHeight="1"/>
    <row r="223" ht="44" customHeight="1"/>
    <row r="224" ht="44" customHeight="1"/>
    <row r="225" ht="44" customHeight="1"/>
    <row r="226" ht="44" customHeight="1"/>
    <row r="227" ht="44" customHeight="1"/>
    <row r="228" ht="44" customHeight="1"/>
    <row r="229" ht="44" customHeight="1"/>
    <row r="230" ht="44" customHeight="1"/>
    <row r="231" ht="44" customHeight="1"/>
    <row r="232" ht="44" customHeight="1"/>
    <row r="233" ht="44" customHeight="1"/>
    <row r="234" ht="44" customHeight="1"/>
    <row r="235" ht="44" customHeight="1"/>
    <row r="236" ht="44" customHeight="1"/>
    <row r="237" ht="44" customHeight="1"/>
    <row r="238" ht="44" customHeight="1"/>
    <row r="239" ht="44" customHeight="1"/>
    <row r="240" ht="44" customHeight="1"/>
    <row r="241" ht="44" customHeight="1"/>
    <row r="242" ht="44" customHeight="1"/>
    <row r="243" ht="44" customHeight="1"/>
    <row r="244" ht="44" customHeight="1"/>
    <row r="245" ht="44" customHeight="1"/>
    <row r="246" ht="44" customHeight="1"/>
    <row r="247" ht="44" customHeight="1"/>
    <row r="248" ht="44" customHeight="1"/>
    <row r="249" ht="44" customHeight="1"/>
    <row r="250" ht="44" customHeight="1"/>
    <row r="251" ht="44" customHeight="1"/>
    <row r="252" ht="44" customHeight="1"/>
    <row r="253" ht="44" customHeight="1"/>
    <row r="254" ht="44" customHeight="1"/>
    <row r="255" ht="44" customHeight="1"/>
    <row r="256" ht="44" customHeight="1"/>
    <row r="257" ht="44" customHeight="1"/>
    <row r="258" ht="44" customHeight="1"/>
    <row r="259" ht="44" customHeight="1"/>
    <row r="260" ht="44" customHeight="1"/>
    <row r="261" ht="44" customHeight="1"/>
    <row r="262" ht="44" customHeight="1"/>
    <row r="263" ht="44" customHeight="1"/>
    <row r="264" ht="44" customHeight="1"/>
    <row r="265" ht="44" customHeight="1"/>
    <row r="266" ht="44" customHeight="1"/>
    <row r="267" ht="44" customHeight="1"/>
    <row r="268" ht="44" customHeight="1"/>
    <row r="269" ht="44" customHeight="1"/>
    <row r="270" ht="44" customHeight="1"/>
    <row r="271" ht="44" customHeight="1"/>
    <row r="272" ht="44" customHeight="1"/>
    <row r="273" ht="44" customHeight="1"/>
    <row r="274" ht="44" customHeight="1"/>
    <row r="275" ht="44" customHeight="1"/>
    <row r="276" ht="44" customHeight="1"/>
    <row r="277" ht="44" customHeight="1"/>
    <row r="278" ht="44" customHeight="1"/>
    <row r="279" ht="44" customHeight="1"/>
    <row r="280" ht="44" customHeight="1"/>
    <row r="281" ht="44" customHeight="1"/>
    <row r="282" ht="44" customHeight="1"/>
    <row r="283" ht="44" customHeight="1"/>
    <row r="284" ht="44" customHeight="1"/>
    <row r="285" ht="44" customHeight="1"/>
    <row r="286" ht="44" customHeight="1"/>
    <row r="287" ht="44" customHeight="1"/>
    <row r="288" ht="44" customHeight="1"/>
    <row r="289" ht="44" customHeight="1"/>
    <row r="290" ht="44" customHeight="1"/>
    <row r="291" ht="44" customHeight="1"/>
    <row r="292" ht="44" customHeight="1"/>
    <row r="293" ht="44" customHeight="1"/>
    <row r="294" ht="44" customHeight="1"/>
    <row r="295" ht="44" customHeight="1"/>
    <row r="296" ht="44" customHeight="1"/>
    <row r="297" ht="44" customHeight="1"/>
    <row r="298" ht="44" customHeight="1"/>
    <row r="299" ht="44" customHeight="1"/>
  </sheetData>
  <mergeCells count="3">
    <mergeCell ref="A14:H14"/>
    <mergeCell ref="A2:H2"/>
    <mergeCell ref="A1:H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51"/>
  <sheetViews>
    <sheetView showGridLines="0" workbookViewId="0">
      <selection activeCell="A1" sqref="A1"/>
    </sheetView>
  </sheetViews>
  <sheetFormatPr baseColWidth="8" defaultRowHeight="15"/>
  <cols>
    <col width="16" customWidth="1" min="1" max="1"/>
    <col width="40" customWidth="1" min="2" max="2"/>
    <col width="22" customWidth="1" min="3" max="3"/>
    <col width="44" customWidth="1" min="4" max="4"/>
    <col width="44" customWidth="1" min="5" max="5"/>
    <col width="18" customWidth="1" min="6" max="6"/>
  </cols>
  <sheetData>
    <row r="1" ht="24" customHeight="1">
      <c r="A1" s="1" t="inlineStr">
        <is>
          <t>ARQUITECTURA FIRESTORE — DATA ENGINE PULSAR PREDICTIVO | ProPart System V12</t>
        </is>
      </c>
    </row>
    <row r="2" ht="20" customHeight="1">
      <c r="A2" s="1" t="inlineStr">
        <is>
          <t>COLECCIÓN I: Vehicle_Models — La Biblioteca Maestra de Vehículos</t>
        </is>
      </c>
    </row>
    <row r="3" ht="50" customHeight="1">
      <c r="A3" s="2" t="inlineStr">
        <is>
          <t>Campo</t>
        </is>
      </c>
      <c r="B3" s="2" t="inlineStr">
        <is>
          <t>Tipo de Dato</t>
        </is>
      </c>
      <c r="C3" s="2" t="inlineStr">
        <is>
          <t>Ejemplo / Valores</t>
        </is>
      </c>
      <c r="D3" s="2" t="inlineStr">
        <is>
          <t>Propósito</t>
        </is>
      </c>
      <c r="E3" s="2" t="inlineStr">
        <is>
          <t>Reglas de Indexación</t>
        </is>
      </c>
      <c r="F3" s="2" t="inlineStr">
        <is>
          <t>Nota de Implementación ProPart</t>
        </is>
      </c>
    </row>
    <row r="4" ht="50" customHeight="1">
      <c r="A4" s="9" t="inlineStr">
        <is>
          <t>model_ID</t>
        </is>
      </c>
      <c r="B4" s="3" t="inlineStr">
        <is>
          <t>string — Document Key (PK)</t>
        </is>
      </c>
      <c r="C4" s="3" t="inlineStr">
        <is>
          <t>FORD_F150_2018 / VW_GOLF_A4_2001 / NISSAN_TSURU_2017</t>
        </is>
      </c>
      <c r="D4" s="3" t="inlineStr">
        <is>
          <t>Clave única de referencia del modelo. Formato: MARCA_MODELO_AÑO sin acentos ni espacios</t>
        </is>
      </c>
      <c r="E4" s="3" t="inlineStr">
        <is>
          <t>Index compuesto: model_ID + year para consulta rápida. Firestore auto-indexa el document key</t>
        </is>
      </c>
      <c r="F4" s="40" t="inlineStr">
        <is>
          <t>Usar guiones bajos como separador. Nunca espacios — rompe queries. Ej: CHEV_SILVERADO_GMT800_2005</t>
        </is>
      </c>
    </row>
    <row r="5" ht="50" customHeight="1">
      <c r="A5" s="10" t="inlineStr">
        <is>
          <t>year_range</t>
        </is>
      </c>
      <c r="B5" s="4" t="inlineStr">
        <is>
          <t>string</t>
        </is>
      </c>
      <c r="C5" s="4" t="inlineStr">
        <is>
          <t>2015-2020 / 1999-2006 / 2017-2017</t>
        </is>
      </c>
      <c r="D5" s="4" t="inlineStr">
        <is>
          <t>Rango de años del modelo aplicable. Si es un solo año: repetir el año</t>
        </is>
      </c>
      <c r="E5" s="4" t="inlineStr">
        <is>
          <t>Index secundario recomendado para búsqueda por rango de años</t>
        </is>
      </c>
      <c r="F5" s="41" t="inlineStr">
        <is>
          <t>Para consultar: where year_range contains año_buscado usar lógica de app — Firestore no soporta range overlap nativo</t>
        </is>
      </c>
    </row>
    <row r="6" ht="50" customHeight="1">
      <c r="A6" s="9" t="inlineStr">
        <is>
          <t>engine_type</t>
        </is>
      </c>
      <c r="B6" s="3" t="inlineStr">
        <is>
          <t>string</t>
        </is>
      </c>
      <c r="C6" s="3" t="inlineStr">
        <is>
          <t>5.0L_V8_Gasolina / 1.8L_4C_Turbo_TSI / 2.0L_4C_TDI_Diesel</t>
        </is>
      </c>
      <c r="D6" s="3" t="inlineStr">
        <is>
          <t>Tipo de motor y configuración con cilindrada, número de cilindros y tipo de combustible</t>
        </is>
      </c>
      <c r="E6" s="3" t="inlineStr">
        <is>
          <t>Index por engine_type para filtrar modelos con el mismo motor (swaps)</t>
        </is>
      </c>
      <c r="F6" s="40" t="inlineStr">
        <is>
          <t>Campo crítico para ProPart: permite identificar ECUs intercambiables entre modelos con mismo motor</t>
        </is>
      </c>
    </row>
    <row r="7" ht="50" customHeight="1">
      <c r="A7" s="10" t="inlineStr">
        <is>
          <t>ecu_location</t>
        </is>
      </c>
      <c r="B7" s="4" t="inlineStr">
        <is>
          <t>string</t>
        </is>
      </c>
      <c r="C7" s="4" t="inlineStr">
        <is>
          <t>Bajo capó lado conductor bajo caja de fusibles / Compartimento de pasajero bajo alfombra derecha / Caja de limpiaparabrisas (cowl)</t>
        </is>
      </c>
      <c r="D7" s="4" t="inlineStr">
        <is>
          <t>Ubicación física de la ECU en el vehículo para guiar al técnico antes de desconectar</t>
        </is>
      </c>
      <c r="E7" s="4" t="inlineStr">
        <is>
          <t>No requiere index — dato informativo</t>
        </is>
      </c>
      <c r="F7" s="41" t="inlineStr">
        <is>
          <t>Incluir foto de referencia como URL: ecu_photo_url para guiar técnicos sin experiencia con el modelo</t>
        </is>
      </c>
    </row>
    <row r="8" ht="50" customHeight="1">
      <c r="A8" s="9" t="inlineStr">
        <is>
          <t>make_id</t>
        </is>
      </c>
      <c r="B8" s="3" t="inlineStr">
        <is>
          <t>string — Reference</t>
        </is>
      </c>
      <c r="C8" s="3" t="inlineStr">
        <is>
          <t>ford / volkswagen / nissan / chevrolet / toyota</t>
        </is>
      </c>
      <c r="D8" s="3" t="inlineStr">
        <is>
          <t>FK a colección Makes — para filtrar todos los modelos de una marca</t>
        </is>
      </c>
      <c r="E8" s="3" t="inlineStr">
        <is>
          <t>Index por make_id — consulta frecuente</t>
        </is>
      </c>
      <c r="F8" s="40" t="inlineStr">
        <is>
          <t>Normalizar en minúsculas sin acentos</t>
        </is>
      </c>
    </row>
    <row r="9" ht="50" customHeight="1">
      <c r="A9" s="10" t="inlineStr">
        <is>
          <t>obd_protocol</t>
        </is>
      </c>
      <c r="B9" s="4" t="inlineStr">
        <is>
          <t>string — ENUM</t>
        </is>
      </c>
      <c r="C9" s="4" t="inlineStr">
        <is>
          <t>CAN_ISO15765 / K-Line_ISO9141 / J1850_VPW / J1850_PWM</t>
        </is>
      </c>
      <c r="D9" s="4" t="inlineStr">
        <is>
          <t>Protocolo OBD2 del vehículo — determina qué tipo de adaptador usar</t>
        </is>
      </c>
      <c r="E9" s="4" t="inlineStr">
        <is>
          <t>Index por obd_protocol para filtrar por compatibilidad de herramienta</t>
        </is>
      </c>
      <c r="F9" s="41" t="inlineStr">
        <is>
          <t>Crítico para ProPart Diagnostic app: antes de conectar ELM327/VLink, verificar protocolo del vehículo</t>
        </is>
      </c>
    </row>
    <row r="10" ht="50" customHeight="1">
      <c r="A10" s="9" t="inlineStr">
        <is>
          <t>platform_code</t>
        </is>
      </c>
      <c r="B10" s="3" t="inlineStr">
        <is>
          <t>string</t>
        </is>
      </c>
      <c r="C10" s="3" t="inlineStr">
        <is>
          <t>E90 / Mk4 / GMT800 / CN112 / D-MAX</t>
        </is>
      </c>
      <c r="D10" s="3" t="inlineStr">
        <is>
          <t>Código de plataforma/chasis del vehículo — identifica vehículos que comparten componentes eléctricos</t>
        </is>
      </c>
      <c r="E10" s="3" t="inlineStr">
        <is>
          <t>Index por platform_code — permite encontrar todos los vehículos de la misma plataforma</t>
        </is>
      </c>
      <c r="F10" s="40" t="inlineStr">
        <is>
          <t>Muy útil para México: muchos modelos comparten plataforma entre marcas (Ford/Mazda, GM/Opel)</t>
        </is>
      </c>
    </row>
    <row r="11" ht="50" customHeight="1">
      <c r="A11" s="10" t="inlineStr">
        <is>
          <t>immo_type</t>
        </is>
      </c>
      <c r="B11" s="4" t="inlineStr">
        <is>
          <t>string — ENUM</t>
        </is>
      </c>
      <c r="C11" s="4" t="inlineStr">
        <is>
          <t>IMMO_3_ID48 / IMMO_4_ID48 / IMMO_5_MQB / PATS_4D63 / NATS_5 / NONE</t>
        </is>
      </c>
      <c r="D11" s="4" t="inlineStr">
        <is>
          <t>Tipo de inmovilizador del vehículo — determina herramienta y procedimiento de programación de llaves</t>
        </is>
      </c>
      <c r="E11" s="4" t="inlineStr">
        <is>
          <t>Index por immo_type — filtrar vehículos por tipo de IMMO para módulo de llaves ProPart</t>
        </is>
      </c>
      <c r="F11" s="41" t="inlineStr">
        <is>
          <t>Campo de ALTO VALOR para ProPart: integrar con módulo IMMO de la app para guiar procedimiento correcto</t>
        </is>
      </c>
    </row>
    <row r="12" ht="50" customHeight="1">
      <c r="A12" s="11" t="n"/>
      <c r="B12" s="11" t="n"/>
      <c r="C12" s="11" t="n"/>
      <c r="D12" s="11" t="n"/>
      <c r="E12" s="11" t="n"/>
      <c r="F12" s="11" t="n"/>
    </row>
    <row r="13" ht="50" customHeight="1"/>
    <row r="14" ht="50" customHeight="1">
      <c r="A14" s="1" t="inlineStr">
        <is>
          <t>COLECCIÓN II: ECU_Pinouts — El Pinout Exacto de Cada ECU (ALTO VALOR)</t>
        </is>
      </c>
    </row>
    <row r="15" ht="50" customHeight="1">
      <c r="A15" s="2" t="inlineStr">
        <is>
          <t>Campo</t>
        </is>
      </c>
      <c r="B15" s="2" t="inlineStr">
        <is>
          <t>Tipo de Dato</t>
        </is>
      </c>
      <c r="C15" s="2" t="inlineStr">
        <is>
          <t>Ejemplo / Valores</t>
        </is>
      </c>
      <c r="D15" s="2" t="inlineStr">
        <is>
          <t>Propósito</t>
        </is>
      </c>
      <c r="E15" s="2" t="inlineStr">
        <is>
          <t>Reglas de Indexación</t>
        </is>
      </c>
      <c r="F15" s="2" t="inlineStr">
        <is>
          <t>Nota de Implementación ProPart</t>
        </is>
      </c>
    </row>
    <row r="16" ht="50" customHeight="1">
      <c r="A16" s="9" t="inlineStr">
        <is>
          <t>ecu_pinout_ID</t>
        </is>
      </c>
      <c r="B16" s="3" t="inlineStr">
        <is>
          <t>string — Document Key</t>
        </is>
      </c>
      <c r="C16" s="3" t="inlineStr">
        <is>
          <t>FORD_F150_2018_PCM / VW_GOLF_A4_Bosch_ME7510 / NISSAN_TSURU_ECU_76P</t>
        </is>
      </c>
      <c r="D16" s="3" t="inlineStr">
        <is>
          <t>PK único para el pinout. Formato: model_ID + nombre_ECU</t>
        </is>
      </c>
      <c r="E16" s="3" t="inlineStr">
        <is>
          <t>Auto-indexado como document key</t>
        </is>
      </c>
      <c r="F16" s="40" t="inlineStr">
        <is>
          <t>Incluir nombre del fabricante de la ECU (Bosch, Denso, Delphi) para precisión</t>
        </is>
      </c>
    </row>
    <row r="17" ht="50" customHeight="1">
      <c r="A17" s="10" t="inlineStr">
        <is>
          <t>model_ID</t>
        </is>
      </c>
      <c r="B17" s="4" t="inlineStr">
        <is>
          <t>string — Reference (FK)</t>
        </is>
      </c>
      <c r="C17" s="4" t="inlineStr">
        <is>
          <t>FORD_F150_2018</t>
        </is>
      </c>
      <c r="D17" s="4" t="inlineStr">
        <is>
          <t>FK a Vehicle_Models — vincula el pinout al vehículo</t>
        </is>
      </c>
      <c r="E17" s="4" t="inlineStr">
        <is>
          <t>Index por model_ID — consulta más frecuente: dame el pinout de ESTE vehículo</t>
        </is>
      </c>
      <c r="F17" s="41" t="inlineStr">
        <is>
          <t>Consulta principal de ProPart: VIN → model_ID → ECU_Pinout completo en una sola lectura</t>
        </is>
      </c>
    </row>
    <row r="18" ht="50" customHeight="1">
      <c r="A18" s="9" t="inlineStr">
        <is>
          <t>diagram_URL</t>
        </is>
      </c>
      <c r="B18" s="3" t="inlineStr">
        <is>
          <t>string — URL</t>
        </is>
      </c>
      <c r="C18" s="3" t="inlineStr">
        <is>
          <t>gs://propart-db/diagramas/vw_golf_a4_me7510_completo.svg</t>
        </is>
      </c>
      <c r="D18" s="3" t="inlineStr">
        <is>
          <t>URL o ruta al diagrama SVG/PDF del esquema eléctrico (si hay licencia OEM)</t>
        </is>
      </c>
      <c r="E18" s="3" t="inlineStr">
        <is>
          <t>No requiere index — dato de descarga</t>
        </is>
      </c>
      <c r="F18" s="40" t="inlineStr">
        <is>
          <t>Usar Google Cloud Storage para PDFs/SVGs grandes. URLs firmadas con expiración para control de acceso premium</t>
        </is>
      </c>
    </row>
    <row r="19" ht="50" customHeight="1">
      <c r="A19" s="10" t="inlineStr">
        <is>
          <t>ecu_connector_count</t>
        </is>
      </c>
      <c r="B19" s="4" t="inlineStr">
        <is>
          <t>number</t>
        </is>
      </c>
      <c r="C19" s="4" t="inlineStr">
        <is>
          <t>3 / 4 / 1</t>
        </is>
      </c>
      <c r="D19" s="4" t="inlineStr">
        <is>
          <t>Número de conectores físicos de la ECU — para orientar al técnico</t>
        </is>
      </c>
      <c r="E19" s="4" t="inlineStr">
        <is>
          <t>Index por count para filtrar ECUs multiconetor</t>
        </is>
      </c>
      <c r="F19" s="41" t="inlineStr">
        <is>
          <t>Golf A4 Bosch ME7.5.10: 2 conectores grandes. Ford PCM 5.4L: 3 conectores (C175B, C175E, C175T)</t>
        </is>
      </c>
    </row>
    <row r="20" ht="50" customHeight="1">
      <c r="A20" s="9" t="inlineStr">
        <is>
          <t>pins_data</t>
        </is>
      </c>
      <c r="B20" s="3" t="inlineStr">
        <is>
          <t>Map/Array — Object[]</t>
        </is>
      </c>
      <c r="C20" s="3" t="inlineStr">
        <is>
          <t>[{pin_num:'A1', function:'CKP Signal', wire_color:'GN/RO', voltage_spec:'AC 1-40V', dtc_ref:'P0335'}, ...]</t>
        </is>
      </c>
      <c r="D20" s="3" t="inlineStr">
        <is>
          <t>Array de objetos — cada objeto = 1 pin con su función, color y especificación eléctrica</t>
        </is>
      </c>
      <c r="E20" s="3" t="inlineStr">
        <is>
          <t>Index en subcampos no nativo en Firestore — usar Algolia o ElasticSearch para búsqueda por función de pin</t>
        </is>
      </c>
      <c r="F20" s="42" t="inlineStr">
        <is>
          <t>ESTRUCTURA CLAVE: cada pin debe tener: pin_num, function, wire_color, voltage_spec (V/Ω normal), dtc_ref (P-code si aplica)</t>
        </is>
      </c>
    </row>
    <row r="21" ht="50" customHeight="1">
      <c r="A21" s="10" t="inlineStr">
        <is>
          <t>pins_data[n].pin_num</t>
        </is>
      </c>
      <c r="B21" s="4" t="inlineStr">
        <is>
          <t>string</t>
        </is>
      </c>
      <c r="C21" s="4" t="inlineStr">
        <is>
          <t>A1 / 43 / Pin_3 / T121/86</t>
        </is>
      </c>
      <c r="D21" s="4" t="inlineStr">
        <is>
          <t>Número o identificador físico del pin en el conector</t>
        </is>
      </c>
      <c r="E21" s="4" t="inlineStr">
        <is>
          <t>—</t>
        </is>
      </c>
      <c r="F21" s="41" t="inlineStr">
        <is>
          <t>Incluir letra del conector como prefijo para ECUs multiconetor: A43, B12, C07</t>
        </is>
      </c>
    </row>
    <row r="22" ht="50" customHeight="1">
      <c r="A22" s="9" t="inlineStr">
        <is>
          <t>pins_data[n].function</t>
        </is>
      </c>
      <c r="B22" s="3" t="inlineStr">
        <is>
          <t>string</t>
        </is>
      </c>
      <c r="C22" s="3" t="inlineStr">
        <is>
          <t>CKP Signal / Vref 5V / GND Sensor / MAF VG / Inyector #1 Low</t>
        </is>
      </c>
      <c r="D22" s="3" t="inlineStr">
        <is>
          <t>Función eléctrica del pin — texto normalizado y buscable</t>
        </is>
      </c>
      <c r="E22" s="3" t="inlineStr">
        <is>
          <t>Crear índice en Algolia sobre este campo para búsqueda 'dame el pin del MAF en este vehículo'</t>
        </is>
      </c>
      <c r="F22" s="40" t="inlineStr">
        <is>
          <t>NORMALIZAR: usar terminología consistente: 'CKP Signal' no 'NE Signal' no 'RPM Sensor' — mismo nombre siempre</t>
        </is>
      </c>
    </row>
    <row r="23" ht="50" customHeight="1">
      <c r="A23" s="10" t="inlineStr">
        <is>
          <t>pins_data[n].wire_color</t>
        </is>
      </c>
      <c r="B23" s="4" t="inlineStr">
        <is>
          <t>string</t>
        </is>
      </c>
      <c r="C23" s="4" t="inlineStr">
        <is>
          <t>GN/RO / BK/WH / BR / AZ/NE</t>
        </is>
      </c>
      <c r="D23" s="4" t="inlineStr">
        <is>
          <t>Color del cable según convención OEM del vehículo</t>
        </is>
      </c>
      <c r="E23" s="4" t="inlineStr">
        <is>
          <t>—</t>
        </is>
      </c>
      <c r="F23" s="41" t="inlineStr">
        <is>
          <t>Incluir convención de codificación: para VAG usar DIN (BR=Marrón), para Toyota usar abreviatura Toyota</t>
        </is>
      </c>
    </row>
    <row r="24" ht="50" customHeight="1">
      <c r="A24" s="9" t="inlineStr">
        <is>
          <t>pins_data[n].voltage_spec</t>
        </is>
      </c>
      <c r="B24" s="3" t="inlineStr">
        <is>
          <t>string</t>
        </is>
      </c>
      <c r="C24" s="3" t="inlineStr">
        <is>
          <t>5.00V ±0.05V / 0.1V-0.9V AC / 800-1500 Ω / AC 1V-40Vpp</t>
        </is>
      </c>
      <c r="D24" s="3" t="inlineStr">
        <is>
          <t>Especificación eléctrica normal del pin para diagnóstico</t>
        </is>
      </c>
      <c r="E24" s="3" t="inlineStr">
        <is>
          <t>—</t>
        </is>
      </c>
      <c r="F24" s="40" t="inlineStr">
        <is>
          <t>Incluir unidad explícita: V, Vpp, Ω, Hz, mA — sin ambigüedad. Rango: 'min-max' o valor exacto ±tolerancia</t>
        </is>
      </c>
    </row>
    <row r="25" ht="50" customHeight="1">
      <c r="A25" s="10" t="inlineStr">
        <is>
          <t>pins_data[n].dtc_ref</t>
        </is>
      </c>
      <c r="B25" s="4" t="inlineStr">
        <is>
          <t>string — Reference</t>
        </is>
      </c>
      <c r="C25" s="4" t="inlineStr">
        <is>
          <t>P0335 / P0101 / P0120</t>
        </is>
      </c>
      <c r="D25" s="4" t="inlineStr">
        <is>
          <t>DTC relacionado con este pin — permite ir de falla a pin directamente</t>
        </is>
      </c>
      <c r="E25" s="4" t="inlineStr">
        <is>
          <t>—</t>
        </is>
      </c>
      <c r="F25" s="43" t="inlineStr">
        <is>
          <t>CAMPO DE ORO: P0335 → inmediatamente mostrar el pin del CKP en la UI de ProPart sin búsqueda adicional</t>
        </is>
      </c>
    </row>
    <row r="26" ht="50" customHeight="1">
      <c r="A26" s="11" t="n"/>
      <c r="B26" s="11" t="n"/>
      <c r="C26" s="11" t="n"/>
      <c r="D26" s="11" t="n"/>
      <c r="E26" s="11" t="n"/>
      <c r="F26" s="11" t="n"/>
    </row>
    <row r="27" ht="50" customHeight="1"/>
    <row r="28" ht="50" customHeight="1">
      <c r="A28" s="1" t="inlineStr">
        <is>
          <t>COLECCIÓN III: DTC_Solutions — Inteligencia de Diagnóstico (Falla → Pin → Solución)</t>
        </is>
      </c>
    </row>
    <row r="29" ht="50" customHeight="1">
      <c r="A29" s="2" t="inlineStr">
        <is>
          <t>Campo</t>
        </is>
      </c>
      <c r="B29" s="2" t="inlineStr">
        <is>
          <t>Tipo de Dato</t>
        </is>
      </c>
      <c r="C29" s="2" t="inlineStr">
        <is>
          <t>Ejemplo / Valores</t>
        </is>
      </c>
      <c r="D29" s="2" t="inlineStr">
        <is>
          <t>Propósito</t>
        </is>
      </c>
      <c r="E29" s="2" t="inlineStr">
        <is>
          <t>Reglas de Indexación</t>
        </is>
      </c>
      <c r="F29" s="2" t="inlineStr">
        <is>
          <t>Nota de Implementación ProPart</t>
        </is>
      </c>
    </row>
    <row r="30" ht="50" customHeight="1">
      <c r="A30" s="9" t="inlineStr">
        <is>
          <t>dtc_code</t>
        </is>
      </c>
      <c r="B30" s="3" t="inlineStr">
        <is>
          <t>string — Document Key</t>
        </is>
      </c>
      <c r="C30" s="3" t="inlineStr">
        <is>
          <t>P0171 / P0335 / P0101 / P2135 / P0300</t>
        </is>
      </c>
      <c r="D30" s="3" t="inlineStr">
        <is>
          <t>PK del documento = código DTC. Uso universal para búsqueda directa</t>
        </is>
      </c>
      <c r="E30" s="3" t="inlineStr">
        <is>
          <t>Auto-indexado. Compound index: dtc_code + model_ID para soluciones específicas por vehículo</t>
        </is>
      </c>
      <c r="F30" s="40" t="inlineStr">
        <is>
          <t>Formato estándar SAE: letra + 4 dígitos. Para códigos OEM extendidos: P1346_TOYOTA para distinguir</t>
        </is>
      </c>
    </row>
    <row r="31" ht="50" customHeight="1">
      <c r="A31" s="10" t="inlineStr">
        <is>
          <t>model_ID</t>
        </is>
      </c>
      <c r="B31" s="4" t="inlineStr">
        <is>
          <t>string — Reference</t>
        </is>
      </c>
      <c r="C31" s="4" t="inlineStr">
        <is>
          <t>FORD_F150_2018 / ALL (para DTCs universales)</t>
        </is>
      </c>
      <c r="D31" s="4" t="inlineStr">
        <is>
          <t>FK a Vehicle_Models — filtra la solución por modelo específico. 'ALL' para DTCs aplicables a cualquier vehículo</t>
        </is>
      </c>
      <c r="E31" s="4" t="inlineStr">
        <is>
          <t>Index compuesto dtc_code + model_ID — consulta principal de la app</t>
        </is>
      </c>
      <c r="F31" s="41" t="inlineStr">
        <is>
          <t>Usar 'ALL' cuando el procedimiento de diagnóstico es idéntico en todos los vehículos (ej. P0300 genérico)</t>
        </is>
      </c>
    </row>
    <row r="32" ht="50" customHeight="1">
      <c r="A32" s="9" t="inlineStr">
        <is>
          <t>symptom_summary</t>
        </is>
      </c>
      <c r="B32" s="3" t="inlineStr">
        <is>
          <t>string</t>
        </is>
      </c>
      <c r="C32" s="3" t="inlineStr">
        <is>
          <t>Mezcla Pobre — Motor en Limp Mode / Motor no arranca — Sin lectura de RPM</t>
        </is>
      </c>
      <c r="D32" s="3" t="inlineStr">
        <is>
          <t>Resumen del problema en español para el técnico — texto de búsqueda</t>
        </is>
      </c>
      <c r="E32" s="3" t="inlineStr">
        <is>
          <t>Full-text search con Algolia — búsqueda por síntoma en lenguaje natural</t>
        </is>
      </c>
      <c r="F32" s="40" t="inlineStr">
        <is>
          <t>Optimizado para ProPart: técnico describe síntoma en voz → app busca DTC con matching semántico</t>
        </is>
      </c>
    </row>
    <row r="33" ht="50" customHeight="1">
      <c r="A33" s="10" t="inlineStr">
        <is>
          <t>dtc_category</t>
        </is>
      </c>
      <c r="B33" s="4" t="inlineStr">
        <is>
          <t>string — ENUM</t>
        </is>
      </c>
      <c r="C33" s="4" t="inlineStr">
        <is>
          <t>RENDIMIENTO / CIRCUITO_ABIERTO / CORTOCIRCUITO / CORRELACION / MECANICO</t>
        </is>
      </c>
      <c r="D33" s="4" t="inlineStr">
        <is>
          <t>Categoría del tipo de falla — determina la metodología de diagnóstico</t>
        </is>
      </c>
      <c r="E33" s="4" t="inlineStr">
        <is>
          <t>Index por dtc_category — filtrar por tipo de diagnóstico requerido</t>
        </is>
      </c>
      <c r="F33" s="41" t="inlineStr">
        <is>
          <t>RENDIMIENTO = usar osciloscopio. CIRCUITO_ABIERTO = usar multímetro. Guía automática de herramienta en ProPart</t>
        </is>
      </c>
    </row>
    <row r="34" ht="50" customHeight="1">
      <c r="A34" s="9" t="inlineStr">
        <is>
          <t>priority_test</t>
        </is>
      </c>
      <c r="B34" s="3" t="inlineStr">
        <is>
          <t>Array of Objects</t>
        </is>
      </c>
      <c r="C34" s="3" t="inlineStr">
        <is>
          <t>[{step:1, action:'Medir Vref en pin A5', tool:'multimetro', expected:'5.00V', pin_ref:'FORD_F150_2018_PCM.A5'}, ...]</t>
        </is>
      </c>
      <c r="D34" s="3" t="inlineStr">
        <is>
          <t>Array de pasos de diagnóstico ordenados por prioridad — guía paso a paso al técnico</t>
        </is>
      </c>
      <c r="E34" s="3" t="inlineStr">
        <is>
          <t>—</t>
        </is>
      </c>
      <c r="F34" s="40" t="inlineStr">
        <is>
          <t>Máximo 5-7 pasos. El primer paso siempre debe ser el más rápido y no-invasivo. Incluir tool (multimetro/osciloscopio/escaner)</t>
        </is>
      </c>
    </row>
    <row r="35" ht="50" customHeight="1">
      <c r="A35" s="10" t="inlineStr">
        <is>
          <t>priority_test[n].pin_ref</t>
        </is>
      </c>
      <c r="B35" s="4" t="inlineStr">
        <is>
          <t>string — Reference</t>
        </is>
      </c>
      <c r="C35" s="4" t="inlineStr">
        <is>
          <t>FORD_F150_2018_PCM.A5 / VW_GOLF_A4_ME7510.Pin43</t>
        </is>
      </c>
      <c r="D35" s="4" t="inlineStr">
        <is>
          <t>CAMPO CRÍTICO: referencia directa al pin de ECU_Pinouts que debe probarse. Formato: ecu_pinout_ID.pin_num</t>
        </is>
      </c>
      <c r="E35" s="4" t="inlineStr">
        <is>
          <t>—</t>
        </is>
      </c>
      <c r="F35" s="41" t="inlineStr">
        <is>
          <t>Este campo conecta el DTC directamente con el punto físico de prueba en el vehículo. La app ProPart resalta este pin en el diagrama visual automáticamente</t>
        </is>
      </c>
    </row>
    <row r="36" ht="50" customHeight="1">
      <c r="A36" s="9" t="inlineStr">
        <is>
          <t>part_number_ref</t>
        </is>
      </c>
      <c r="B36" s="3" t="inlineStr">
        <is>
          <t>string — Reference (Fase 2)</t>
        </is>
      </c>
      <c r="C36" s="3" t="inlineStr">
        <is>
          <t>BOSCH_0280217800 / DELPHI_AF10094 / OEM_056133471A</t>
        </is>
      </c>
      <c r="D36" s="3" t="inlineStr">
        <is>
          <t>FK a colección Parts — liga la falla directamente con la pieza de repuesto requerida</t>
        </is>
      </c>
      <c r="E36" s="3" t="inlineStr">
        <is>
          <t>Index por part_number_ref — para búsqueda de stock</t>
        </is>
      </c>
      <c r="F36" s="42" t="inlineStr">
        <is>
          <t>PROPARMOVIL STRATEGY: Falla detectada → mostrar pieza requerida con precio y disponibilidad en inventario ProPart</t>
        </is>
      </c>
    </row>
    <row r="37" ht="50" customHeight="1">
      <c r="A37" s="10" t="inlineStr">
        <is>
          <t>supplier_ID</t>
        </is>
      </c>
      <c r="B37" s="4" t="inlineStr">
        <is>
          <t>string — Reference (Fase 2)</t>
        </is>
      </c>
      <c r="C37" s="4" t="inlineStr">
        <is>
          <t>BOSCH_MX / DELPHI_MX / PROVEEDOR_LOCAL_MOR</t>
        </is>
      </c>
      <c r="D37" s="4" t="inlineStr">
        <is>
          <t>FK a colección Suppliers — proveedor recomendado de la pieza</t>
        </is>
      </c>
      <c r="E37" s="4" t="inlineStr">
        <is>
          <t>Index por supplier_ID</t>
        </is>
      </c>
      <c r="F37" s="41" t="inlineStr">
        <is>
          <t>Estrategia de negocio: la app conecta diagnóstico con venta de refacción en tiempo real — diferenciador ProPart vs escáneres genéricos</t>
        </is>
      </c>
    </row>
    <row r="38" ht="50" customHeight="1">
      <c r="A38" s="9" t="inlineStr">
        <is>
          <t>region_notes</t>
        </is>
      </c>
      <c r="B38" s="3" t="inlineStr">
        <is>
          <t>string (Fase 2)</t>
        </is>
      </c>
      <c r="C38" s="3" t="inlineStr">
        <is>
          <t>En altitudes &gt;1500 msnm (Morelos, CDMX) el MAP normal lee 4.2-4.5V en lugar de 4.5-4.8V. Ajustar valores de referencia</t>
        </is>
      </c>
      <c r="D38" s="3" t="inlineStr">
        <is>
          <t>Notas específicas por región geográfica para ajustar valores de referencia</t>
        </is>
      </c>
      <c r="E38" s="3" t="inlineStr">
        <is>
          <t>Index por region</t>
        </is>
      </c>
      <c r="F38" s="40" t="inlineStr">
        <is>
          <t>Crítico para México: altitud afecta valores MAF/MAP. ProPart puede personalizar alertas por geolocalización GPS del técnico</t>
        </is>
      </c>
    </row>
    <row r="39" ht="50" customHeight="1">
      <c r="A39" s="10" t="inlineStr">
        <is>
          <t>flash_file_ref</t>
        </is>
      </c>
      <c r="B39" s="4" t="inlineStr">
        <is>
          <t>string — Seguro (Fase 3)</t>
        </is>
      </c>
      <c r="C39" s="4" t="inlineStr">
        <is>
          <t>gs://propart-secure/flash/VW_MED17_0261S19157.bin</t>
        </is>
      </c>
      <c r="D39" s="4" t="inlineStr">
        <is>
          <t>Ruta al archivo de flasheo — solo ruta, nunca el archivo directamente en Firestore</t>
        </is>
      </c>
      <c r="E39" s="4" t="inlineStr">
        <is>
          <t>Solo accesible por roles premium</t>
        </is>
      </c>
      <c r="F39" s="43" t="inlineStr">
        <is>
          <t>SEGURIDAD: archivos de flash en Cloud Storage con IAM. Solo técnicos con suscripción premium pueden descargar. Log de acceso obligatorio</t>
        </is>
      </c>
    </row>
    <row r="40" ht="50" customHeight="1">
      <c r="A40" s="9" t="inlineStr">
        <is>
          <t>immo_code_ref</t>
        </is>
      </c>
      <c r="B40" s="3" t="inlineStr">
        <is>
          <t>string — Seguro (Fase 3)</t>
        </is>
      </c>
      <c r="C40" s="3" t="inlineStr">
        <is>
          <t>gs://propart-secure/immo/FORD_PATS_incode_tables.enc</t>
        </is>
      </c>
      <c r="D40" s="3" t="inlineStr">
        <is>
          <t>Referencia a tablas de códigos IMMO — encriptadas en reposo</t>
        </is>
      </c>
      <c r="E40" s="3" t="inlineStr">
        <is>
          <t>Solo accesible por roles verificados</t>
        </is>
      </c>
      <c r="F40" s="42" t="inlineStr">
        <is>
          <t>ALTO MARGEN: servicio de códigos IMMO como suscripción premium dentro de ProPart. Complementa el módulo de llaves de la app</t>
        </is>
      </c>
    </row>
    <row r="41" ht="50" customHeight="1">
      <c r="A41" s="11" t="n"/>
      <c r="B41" s="11" t="n"/>
      <c r="C41" s="11" t="n"/>
      <c r="D41" s="11" t="n"/>
      <c r="E41" s="11" t="n"/>
      <c r="F41" s="11" t="n"/>
    </row>
    <row r="42" ht="50" customHeight="1"/>
    <row r="43" ht="50" customHeight="1">
      <c r="A43" s="1" t="inlineStr">
        <is>
          <t>FLUJO DE CONSULTA PROPART APP — VIN → Diagnóstico → Pieza → Solución</t>
        </is>
      </c>
    </row>
    <row r="44" ht="50" customHeight="1">
      <c r="A44" s="2" t="inlineStr">
        <is>
          <t>Paso</t>
        </is>
      </c>
      <c r="B44" s="2" t="inlineStr">
        <is>
          <t>Evento en App ProPart</t>
        </is>
      </c>
      <c r="C44" s="2" t="inlineStr">
        <is>
          <t>Colección Firestore</t>
        </is>
      </c>
      <c r="D44" s="2" t="inlineStr">
        <is>
          <t>Query Ejecutado</t>
        </is>
      </c>
      <c r="E44" s="2" t="inlineStr">
        <is>
          <t>Dato Retornado</t>
        </is>
      </c>
      <c r="F44" s="2" t="inlineStr">
        <is>
          <t>Tiempo Esperado</t>
        </is>
      </c>
    </row>
    <row r="45" ht="50" customHeight="1">
      <c r="A45" s="5" t="inlineStr">
        <is>
          <t>1</t>
        </is>
      </c>
      <c r="B45" s="3" t="inlineStr">
        <is>
          <t>Técnico escanea VIN del vehículo con cámara o ingresa manualmente</t>
        </is>
      </c>
      <c r="C45" s="3" t="inlineStr">
        <is>
          <t>Vehicle_Models</t>
        </is>
      </c>
      <c r="D45" s="3" t="inlineStr">
        <is>
          <t>db.collection('Vehicle_Models').where('vin_pattern', 'array-contains', vin_chars_1_8)</t>
        </is>
      </c>
      <c r="E45" s="3" t="inlineStr">
        <is>
          <t>model_ID + engine_type + obd_protocol + immo_type</t>
        </is>
      </c>
      <c r="F45" s="14" t="inlineStr">
        <is>
          <t>&lt; 200ms — Firestore índice</t>
        </is>
      </c>
    </row>
    <row r="46" ht="50" customHeight="1">
      <c r="A46" s="6" t="inlineStr">
        <is>
          <t>2</t>
        </is>
      </c>
      <c r="B46" s="4" t="inlineStr">
        <is>
          <t>App carga el pinout completo de la ECU para ese modelo</t>
        </is>
      </c>
      <c r="C46" s="4" t="inlineStr">
        <is>
          <t>ECU_Pinouts</t>
        </is>
      </c>
      <c r="D46" s="4" t="inlineStr">
        <is>
          <t>db.collection('ECU_Pinouts').where('model_ID', '==', model_ID).get()</t>
        </is>
      </c>
      <c r="E46" s="4" t="inlineStr">
        <is>
          <t>Array completo de pins_data con funciones, colores y voltajes</t>
        </is>
      </c>
      <c r="F46" s="15" t="inlineStr">
        <is>
          <t>&lt; 300ms — documento único</t>
        </is>
      </c>
    </row>
    <row r="47" ht="50" customHeight="1">
      <c r="A47" s="5" t="inlineStr">
        <is>
          <t>3</t>
        </is>
      </c>
      <c r="B47" s="3" t="inlineStr">
        <is>
          <t>Escáner lee DTC del vehículo (ej. P0171)</t>
        </is>
      </c>
      <c r="C47" s="3" t="inlineStr">
        <is>
          <t>DTC_Solutions</t>
        </is>
      </c>
      <c r="D47" s="3" t="inlineStr">
        <is>
          <t>db.collection('DTC_Solutions').where('dtc_code', '==', 'P0171').where('model_ID', 'in', [model_ID, 'ALL']).get()</t>
        </is>
      </c>
      <c r="E47" s="3" t="inlineStr">
        <is>
          <t>Pasos de diagnóstico + pin_ref específico para ese vehículo</t>
        </is>
      </c>
      <c r="F47" s="14" t="inlineStr">
        <is>
          <t>&lt; 200ms — index compuesto</t>
        </is>
      </c>
    </row>
    <row r="48" ht="50" customHeight="1">
      <c r="A48" s="6" t="inlineStr">
        <is>
          <t>4</t>
        </is>
      </c>
      <c r="B48" s="4" t="inlineStr">
        <is>
          <t>App resalta el pin de prueba en el diagrama visual</t>
        </is>
      </c>
      <c r="C48" s="4" t="inlineStr">
        <is>
          <t>ECU_Pinouts (cache)</t>
        </is>
      </c>
      <c r="D48" s="4" t="inlineStr">
        <is>
          <t>Datos ya cargados en paso 2 — buscar pin_ref en cache local de la app</t>
        </is>
      </c>
      <c r="E48" s="4" t="inlineStr">
        <is>
          <t>Pin específico resaltado + voltaje esperado + color de cable</t>
        </is>
      </c>
      <c r="F48" s="15" t="inlineStr">
        <is>
          <t>&lt; 10ms — cache local</t>
        </is>
      </c>
    </row>
    <row r="49" ht="50" customHeight="1">
      <c r="A49" s="5" t="inlineStr">
        <is>
          <t>5</t>
        </is>
      </c>
      <c r="B49" s="3" t="inlineStr">
        <is>
          <t>Diagnóstico confirma pieza defectuosa</t>
        </is>
      </c>
      <c r="C49" s="3" t="inlineStr">
        <is>
          <t>DTC_Solutions + Inventario ProPart</t>
        </is>
      </c>
      <c r="D49" s="3" t="inlineStr">
        <is>
          <t>Leer part_number_ref → consultar inventario local/API refaccionaria</t>
        </is>
      </c>
      <c r="E49" s="3" t="inlineStr">
        <is>
          <t>Pieza requerida + precio + disponibilidad en stock ProPart Alpuyeca</t>
        </is>
      </c>
      <c r="F49" s="14" t="inlineStr">
        <is>
          <t>&lt; 500ms — depende del inventario API</t>
        </is>
      </c>
    </row>
    <row r="50" ht="50" customHeight="1">
      <c r="A50" s="6" t="inlineStr">
        <is>
          <t>6</t>
        </is>
      </c>
      <c r="B50" s="4" t="inlineStr">
        <is>
          <t>Técnico realiza la reparación y borra DTCs</t>
        </is>
      </c>
      <c r="C50" s="4" t="inlineStr">
        <is>
          <t>VIN_History (futura)</t>
        </is>
      </c>
      <c r="D50" s="4" t="inlineStr">
        <is>
          <t>db.collection('VIN_History').add({vin, dtc_fixed, date, part_used, technician_id})</t>
        </is>
      </c>
      <c r="E50" s="4" t="inlineStr">
        <is>
          <t>Registro histórico del servicio — base para mantenimiento predictivo</t>
        </is>
      </c>
      <c r="F50" s="15" t="inlineStr">
        <is>
          <t>&lt; 100ms — escritura Firestore</t>
        </is>
      </c>
    </row>
    <row r="51" ht="50" customHeight="1">
      <c r="A51" s="11" t="n"/>
      <c r="B51" s="11" t="n"/>
      <c r="C51" s="11" t="n"/>
      <c r="D51" s="11" t="n"/>
      <c r="E51" s="11" t="n"/>
      <c r="F51" s="11" t="n"/>
    </row>
  </sheetData>
  <mergeCells count="5">
    <mergeCell ref="A14:G14"/>
    <mergeCell ref="A1:G1"/>
    <mergeCell ref="A2:G2"/>
    <mergeCell ref="A43:G43"/>
    <mergeCell ref="A28:G28"/>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7"/>
  <sheetViews>
    <sheetView showGridLines="0" workbookViewId="0">
      <selection activeCell="A1" sqref="A1"/>
    </sheetView>
  </sheetViews>
  <sheetFormatPr baseColWidth="8" defaultRowHeight="15"/>
  <cols>
    <col width="7" customWidth="1" min="1" max="1"/>
    <col width="14" customWidth="1" min="2" max="2"/>
    <col width="20" customWidth="1" min="3" max="3"/>
    <col width="22" customWidth="1" min="4" max="4"/>
    <col width="12" customWidth="1" min="5" max="5"/>
    <col width="14" customWidth="1" min="6" max="6"/>
    <col width="20" customWidth="1" min="7" max="7"/>
    <col width="24" customWidth="1" min="8" max="8"/>
    <col width="22" customWidth="1" min="9" max="9"/>
    <col width="20" customWidth="1" min="10" max="10"/>
    <col width="28" customWidth="1" min="11" max="11"/>
    <col width="44" customWidth="1" min="12" max="12"/>
  </cols>
  <sheetData>
    <row r="1" ht="24" customHeight="1">
      <c r="A1" s="1" t="inlineStr">
        <is>
          <t>BASE DE DATOS MULTIMARCA — Módulos de Control ECM/PCM/BCM/TCM (1986-2025)</t>
        </is>
      </c>
    </row>
    <row r="2" ht="34" customHeight="1">
      <c r="A2" s="44" t="inlineStr">
        <is>
          <t>ID</t>
        </is>
      </c>
      <c r="B2" s="44" t="inlineStr">
        <is>
          <t>Marca</t>
        </is>
      </c>
      <c r="C2" s="44" t="inlineStr">
        <is>
          <t>Modelo</t>
        </is>
      </c>
      <c r="D2" s="44" t="inlineStr">
        <is>
          <t>Plataforma / Motor</t>
        </is>
      </c>
      <c r="E2" s="44" t="inlineStr">
        <is>
          <t>Rango Años</t>
        </is>
      </c>
      <c r="F2" s="44" t="inlineStr">
        <is>
          <t>Módulo</t>
        </is>
      </c>
      <c r="G2" s="44" t="inlineStr">
        <is>
          <t>Sistema FSM</t>
        </is>
      </c>
      <c r="H2" s="44" t="inlineStr">
        <is>
          <t>Colores Ejemplo</t>
        </is>
      </c>
      <c r="I2" s="44" t="inlineStr">
        <is>
          <t>Conectores Clave</t>
        </is>
      </c>
      <c r="J2" s="44" t="inlineStr">
        <is>
          <t>Protocolo OBD</t>
        </is>
      </c>
      <c r="K2" s="44" t="inlineStr">
        <is>
          <t>Ubicación Física</t>
        </is>
      </c>
      <c r="L2" s="44" t="inlineStr">
        <is>
          <t>Nota Técnica ProPart</t>
        </is>
      </c>
    </row>
    <row r="3" ht="44" customHeight="1">
      <c r="A3" s="5" t="inlineStr">
        <is>
          <t>N001</t>
        </is>
      </c>
      <c r="B3" s="45" t="inlineStr">
        <is>
          <t>Nissan</t>
        </is>
      </c>
      <c r="C3" s="3" t="inlineStr">
        <is>
          <t>D21 Truck (Hardbody)</t>
        </is>
      </c>
      <c r="D3" s="3" t="inlineStr">
        <is>
          <t>Z24 / OBD-I</t>
        </is>
      </c>
      <c r="E3" s="7" t="inlineStr">
        <is>
          <t>1986–1997</t>
        </is>
      </c>
      <c r="F3" s="46" t="inlineStr">
        <is>
          <t>ECU</t>
        </is>
      </c>
      <c r="G3" s="3" t="inlineStr">
        <is>
          <t>Fuel Control (FC)</t>
        </is>
      </c>
      <c r="H3" s="3" t="inlineStr">
        <is>
          <t>B=Tierra, W=Power</t>
        </is>
      </c>
      <c r="I3" s="3" t="inlineStr">
        <is>
          <t>ECU 2 conectores</t>
        </is>
      </c>
      <c r="J3" s="47" t="inlineStr">
        <is>
          <t>No OBD2 — ISO 9141 analógico</t>
        </is>
      </c>
      <c r="K3" s="3" t="inlineStr">
        <is>
          <t>Bajo el asiento del conductor</t>
        </is>
      </c>
      <c r="L3" s="3" t="inlineStr">
        <is>
          <t>OBD-I: diagnóstico por contar parpadeos del testigo. Sin conector DLC estándar. Puerto 14-pin propio Nissan</t>
        </is>
      </c>
    </row>
    <row r="4" ht="44" customHeight="1">
      <c r="A4" s="6" t="inlineStr">
        <is>
          <t>N002</t>
        </is>
      </c>
      <c r="B4" s="48" t="inlineStr">
        <is>
          <t>Nissan</t>
        </is>
      </c>
      <c r="C4" s="4" t="inlineStr">
        <is>
          <t>Versa</t>
        </is>
      </c>
      <c r="D4" s="4" t="inlineStr">
        <is>
          <t>V Platform / HR16DE</t>
        </is>
      </c>
      <c r="E4" s="8" t="inlineStr">
        <is>
          <t>2007–2025</t>
        </is>
      </c>
      <c r="F4" s="49" t="inlineStr">
        <is>
          <t>ECM</t>
        </is>
      </c>
      <c r="G4" s="4" t="inlineStr">
        <is>
          <t>Engine Control (EC)</t>
        </is>
      </c>
      <c r="H4" s="4" t="inlineStr">
        <is>
          <t>W/B=Encendido, L/G=Sensor</t>
        </is>
      </c>
      <c r="I4" s="4" t="inlineStr">
        <is>
          <t>Múltiples conectores — ECM en J-Box</t>
        </is>
      </c>
      <c r="J4" s="50" t="inlineStr">
        <is>
          <t>CAN ISO15765-4</t>
        </is>
      </c>
      <c r="K4" s="4" t="inlineStr">
        <is>
          <t>ECM integrado en J-Box (caja de fusibles principal)</t>
        </is>
      </c>
      <c r="L4" s="4" t="inlineStr">
        <is>
          <t>IPDM E/R controla el relé del ECM. Si el IPDM falla, el ECM no enciende aunque esté bien. Verificar fusibles IPDM primero</t>
        </is>
      </c>
    </row>
    <row r="5" ht="44" customHeight="1">
      <c r="A5" s="5" t="inlineStr">
        <is>
          <t>N003</t>
        </is>
      </c>
      <c r="B5" s="45" t="inlineStr">
        <is>
          <t>Nissan</t>
        </is>
      </c>
      <c r="C5" s="3" t="inlineStr">
        <is>
          <t>Sentra</t>
        </is>
      </c>
      <c r="D5" s="3" t="inlineStr">
        <is>
          <t>B17 / QR25DE</t>
        </is>
      </c>
      <c r="E5" s="7" t="inlineStr">
        <is>
          <t>2013–2025</t>
        </is>
      </c>
      <c r="F5" s="46" t="inlineStr">
        <is>
          <t>ECM/PCM</t>
        </is>
      </c>
      <c r="G5" s="3" t="inlineStr">
        <is>
          <t>EC + AT Control</t>
        </is>
      </c>
      <c r="H5" s="3" t="inlineStr">
        <is>
          <t>B/P=Relé Bomba, OR/B=IGNCK</t>
        </is>
      </c>
      <c r="I5" s="3" t="inlineStr">
        <is>
          <t>E16, F52, F56 (3 conectores)</t>
        </is>
      </c>
      <c r="J5" s="47" t="inlineStr">
        <is>
          <t>CAN ISO15765-4</t>
        </is>
      </c>
      <c r="K5" s="3" t="inlineStr">
        <is>
          <t>Compartimento motor — lado del conductor</t>
        </is>
      </c>
      <c r="L5" s="3" t="inlineStr">
        <is>
          <t>Inyección directa (DI) + VTC variable. Pinout E16 contiene CKP/CMP. F52 = inyectores y bobinas. F56 = CAN y alimentación</t>
        </is>
      </c>
    </row>
    <row r="6" ht="44" customHeight="1">
      <c r="A6" s="6" t="inlineStr">
        <is>
          <t>N004</t>
        </is>
      </c>
      <c r="B6" s="48" t="inlineStr">
        <is>
          <t>Nissan</t>
        </is>
      </c>
      <c r="C6" s="4" t="inlineStr">
        <is>
          <t>Maxima</t>
        </is>
      </c>
      <c r="D6" s="4" t="inlineStr">
        <is>
          <t>VQ35DE</t>
        </is>
      </c>
      <c r="E6" s="8" t="inlineStr">
        <is>
          <t>2000–2005</t>
        </is>
      </c>
      <c r="F6" s="49" t="inlineStr">
        <is>
          <t>TCM</t>
        </is>
      </c>
      <c r="G6" s="4" t="inlineStr">
        <is>
          <t>Transmisión (AT) RE4R/RE40F</t>
        </is>
      </c>
      <c r="H6" s="4" t="inlineStr">
        <is>
          <t>ATCK=Señal Check, PNP Switch</t>
        </is>
      </c>
      <c r="I6" s="4" t="inlineStr">
        <is>
          <t>C105 + TCM interno RE40FC0</t>
        </is>
      </c>
      <c r="J6" s="50" t="inlineStr">
        <is>
          <t>CAN ISO15765-4</t>
        </is>
      </c>
      <c r="K6" s="4" t="inlineStr">
        <is>
          <t>Lateral de la transmisión — acceso por debajo</t>
        </is>
      </c>
      <c r="L6" s="4" t="inlineStr">
        <is>
          <t>Si el PNP Switch falla: PCM no detecta posición de selector → no arranca en P/N. Verificar voltaje en ATCK (0V=Park, 12V=Drive)</t>
        </is>
      </c>
    </row>
    <row r="7" ht="44" customHeight="1">
      <c r="A7" s="5" t="inlineStr">
        <is>
          <t>N005</t>
        </is>
      </c>
      <c r="B7" s="45" t="inlineStr">
        <is>
          <t>Nissan</t>
        </is>
      </c>
      <c r="C7" s="3" t="inlineStr">
        <is>
          <t>Frontier</t>
        </is>
      </c>
      <c r="D7" s="3" t="inlineStr">
        <is>
          <t>D22 / QR25DE</t>
        </is>
      </c>
      <c r="E7" s="7" t="inlineStr">
        <is>
          <t>2000–2025</t>
        </is>
      </c>
      <c r="F7" s="46" t="inlineStr">
        <is>
          <t>IPDM E/R</t>
        </is>
      </c>
      <c r="G7" s="3" t="inlineStr">
        <is>
          <t>Power Supply (EL)</t>
        </is>
      </c>
      <c r="H7" s="3" t="inlineStr">
        <is>
          <t>B=Tierra, R=Power</t>
        </is>
      </c>
      <c r="I7" s="3" t="inlineStr">
        <is>
          <t>IPDM principal + IPDM auxiliar</t>
        </is>
      </c>
      <c r="J7" s="47" t="inlineStr">
        <is>
          <t>CAN ISO15765-4 (2005+)</t>
        </is>
      </c>
      <c r="K7" s="3" t="inlineStr">
        <is>
          <t>Compartimento motor — lado pasajero (frente)</t>
        </is>
      </c>
      <c r="L7" s="3" t="inlineStr">
        <is>
          <t>El IPDM distribuye poder a: bomba de combustible, ECM, ABS, ventiladores. Relés soldados internamente — falla = bypass o reemplazo del módulo completo</t>
        </is>
      </c>
    </row>
    <row r="8" ht="44" customHeight="1">
      <c r="A8" s="6" t="inlineStr">
        <is>
          <t>N006</t>
        </is>
      </c>
      <c r="B8" s="48" t="inlineStr">
        <is>
          <t>Nissan</t>
        </is>
      </c>
      <c r="C8" s="4" t="inlineStr">
        <is>
          <t>X-Trail</t>
        </is>
      </c>
      <c r="D8" s="4" t="inlineStr">
        <is>
          <t>CMF C/D</t>
        </is>
      </c>
      <c r="E8" s="8" t="inlineStr">
        <is>
          <t>2014–2025</t>
        </is>
      </c>
      <c r="F8" s="49" t="inlineStr">
        <is>
          <t>BCM</t>
        </is>
      </c>
      <c r="G8" s="4" t="inlineStr">
        <is>
          <t>Body Control (BC)</t>
        </is>
      </c>
      <c r="H8" s="4" t="inlineStr">
        <is>
          <t>CAN High=Yellow, CAN Low=Green</t>
        </is>
      </c>
      <c r="I8" s="4" t="inlineStr">
        <is>
          <t>BCM con múltiples sub-buses</t>
        </is>
      </c>
      <c r="J8" s="50" t="inlineStr">
        <is>
          <t>CAN + LIN sub-buses</t>
        </is>
      </c>
      <c r="K8" s="4" t="inlineStr">
        <is>
          <t>Cabina — detrás de la guantera o panel conductor</t>
        </is>
      </c>
      <c r="L8" s="4" t="inlineStr">
        <is>
          <t>Arquitectura Gateway: el BCM filtra comunicación entre CAN de powertrain y CAN de carrocería. Falla de BCM = múltiples módulos sin comunicación simultáneamente</t>
        </is>
      </c>
    </row>
    <row r="9" ht="44" customHeight="1">
      <c r="A9" s="5" t="inlineStr">
        <is>
          <t>V001</t>
        </is>
      </c>
      <c r="B9" s="51" t="inlineStr">
        <is>
          <t>Volkswagen</t>
        </is>
      </c>
      <c r="C9" s="3" t="inlineStr">
        <is>
          <t>Jetta</t>
        </is>
      </c>
      <c r="D9" s="3" t="inlineStr">
        <is>
          <t>MQB / Plataforma A</t>
        </is>
      </c>
      <c r="E9" s="7" t="inlineStr">
        <is>
          <t>2015–2025</t>
        </is>
      </c>
      <c r="F9" s="46" t="inlineStr">
        <is>
          <t>ECM/PCM</t>
        </is>
      </c>
      <c r="G9" s="3" t="inlineStr">
        <is>
          <t>Engine Control</t>
        </is>
      </c>
      <c r="H9" s="3" t="inlineStr">
        <is>
          <t>SW=Negro, RT=Rojo</t>
        </is>
      </c>
      <c r="I9" s="3" t="inlineStr">
        <is>
          <t>Bosch MED17/EDC17 — 2 conectores grandes</t>
        </is>
      </c>
      <c r="J9" s="47" t="inlineStr">
        <is>
          <t>CAN ISO15765-4 + K-Line legacy</t>
        </is>
      </c>
      <c r="K9" s="3" t="inlineStr">
        <is>
          <t>Bajo capó — caja de limpiaparabrisas (cowl)</t>
        </is>
      </c>
      <c r="L9" s="3" t="inlineStr">
        <is>
          <t>Acceso al ECM requiere desmontar brazos del limpiaparabrisas y cubierta del cowl. Component Security (CS) requerido para cambio de ECM</t>
        </is>
      </c>
    </row>
    <row r="10" ht="44" customHeight="1">
      <c r="A10" s="6" t="inlineStr">
        <is>
          <t>V002</t>
        </is>
      </c>
      <c r="B10" s="52" t="inlineStr">
        <is>
          <t>Volkswagen</t>
        </is>
      </c>
      <c r="C10" s="4" t="inlineStr">
        <is>
          <t>Virtus</t>
        </is>
      </c>
      <c r="D10" s="4" t="inlineStr">
        <is>
          <t>MQB A0</t>
        </is>
      </c>
      <c r="E10" s="8" t="inlineStr">
        <is>
          <t>2025</t>
        </is>
      </c>
      <c r="F10" s="49" t="inlineStr">
        <is>
          <t>ECM/BCM</t>
        </is>
      </c>
      <c r="G10" s="4" t="inlineStr">
        <is>
          <t>Chassis + Body</t>
        </is>
      </c>
      <c r="H10" s="4" t="inlineStr">
        <is>
          <t>BL=Azul, GE=Amarillo</t>
        </is>
      </c>
      <c r="I10" s="4" t="inlineStr">
        <is>
          <t>Gateway CAN central + módulos zonales</t>
        </is>
      </c>
      <c r="J10" s="50" t="inlineStr">
        <is>
          <t>Automotive Ethernet + CAN-FD</t>
        </is>
      </c>
      <c r="K10" s="4" t="inlineStr">
        <is>
          <t>BCM integrado en zona frontal del vehículo</t>
        </is>
      </c>
      <c r="L10" s="4" t="inlineStr">
        <is>
          <t>Arquitectura zonal MQB A0: un gateway central controla todas las ECUs. Diagnóstico requiere VCDS o herramienta OEM VAG actualizada para acceder a sub-módulos</t>
        </is>
      </c>
    </row>
    <row r="11" ht="44" customHeight="1">
      <c r="A11" s="5" t="inlineStr">
        <is>
          <t>V003</t>
        </is>
      </c>
      <c r="B11" s="51" t="inlineStr">
        <is>
          <t>Volkswagen</t>
        </is>
      </c>
      <c r="C11" s="3" t="inlineStr">
        <is>
          <t>Golf</t>
        </is>
      </c>
      <c r="D11" s="3" t="inlineStr">
        <is>
          <t>MQB / Plataforma C</t>
        </is>
      </c>
      <c r="E11" s="7" t="inlineStr">
        <is>
          <t>2008–2025</t>
        </is>
      </c>
      <c r="F11" s="46" t="inlineStr">
        <is>
          <t>TCM</t>
        </is>
      </c>
      <c r="G11" s="3" t="inlineStr">
        <is>
          <t>Transmisión DSG</t>
        </is>
      </c>
      <c r="H11" s="3" t="inlineStr">
        <is>
          <t>RT=Rojo, WS=Blanco</t>
        </is>
      </c>
      <c r="I11" s="3" t="inlineStr">
        <is>
          <t>Mechatronic DSG — conector interno</t>
        </is>
      </c>
      <c r="J11" s="47" t="inlineStr">
        <is>
          <t>CAN ISO15765-4</t>
        </is>
      </c>
      <c r="K11" s="3" t="inlineStr">
        <is>
          <t>Dentro de la caja de transmisión DSG — no separable fácilmente</t>
        </is>
      </c>
      <c r="L11" s="3" t="inlineStr">
        <is>
          <t>El Mechatronic DSG integra hidráulica y electrónica. NO desmontar sin herramienta VAG-COM (VCDS). Aceite DSG vencido = codigos de solenoides sin falla mecánica real</t>
        </is>
      </c>
    </row>
    <row r="12" ht="44" customHeight="1">
      <c r="A12" s="6" t="inlineStr">
        <is>
          <t>C001</t>
        </is>
      </c>
      <c r="B12" s="39" t="inlineStr">
        <is>
          <t>Chevrolet</t>
        </is>
      </c>
      <c r="C12" s="4" t="inlineStr">
        <is>
          <t>Onix</t>
        </is>
      </c>
      <c r="D12" s="4" t="inlineStr">
        <is>
          <t>GEM Platform</t>
        </is>
      </c>
      <c r="E12" s="8" t="inlineStr">
        <is>
          <t>2025</t>
        </is>
      </c>
      <c r="F12" s="49" t="inlineStr">
        <is>
          <t>ECM/PCM</t>
        </is>
      </c>
      <c r="G12" s="4" t="inlineStr">
        <is>
          <t>Engine Control Turbo</t>
        </is>
      </c>
      <c r="H12" s="4" t="inlineStr">
        <is>
          <t>BK=Negro, RD=Rojo</t>
        </is>
      </c>
      <c r="I12" s="4" t="inlineStr">
        <is>
          <t>E92 + E80 (2 conectores PCM)</t>
        </is>
      </c>
      <c r="J12" s="50" t="inlineStr">
        <is>
          <t>CAN-FD ISO11898</t>
        </is>
      </c>
      <c r="K12" s="4" t="inlineStr">
        <is>
          <t>Compartimento motor — fijado al soporte de la batería</t>
        </is>
      </c>
      <c r="L12" s="4" t="inlineStr">
        <is>
          <t>Motor turbo 1.0L — ECU gestiona boost, inyección directa y sistema i-Stop. Calibración especializada requerida al reemplazar PCM</t>
        </is>
      </c>
    </row>
    <row r="13" ht="44" customHeight="1">
      <c r="A13" s="5" t="inlineStr">
        <is>
          <t>C002</t>
        </is>
      </c>
      <c r="B13" s="38" t="inlineStr">
        <is>
          <t>Chevrolet</t>
        </is>
      </c>
      <c r="C13" s="3" t="inlineStr">
        <is>
          <t>Aveo</t>
        </is>
      </c>
      <c r="D13" s="3" t="inlineStr">
        <is>
          <t>G3/GEM Platform</t>
        </is>
      </c>
      <c r="E13" s="7" t="inlineStr">
        <is>
          <t>2010–2025</t>
        </is>
      </c>
      <c r="F13" s="46" t="inlineStr">
        <is>
          <t>BCM</t>
        </is>
      </c>
      <c r="G13" s="3" t="inlineStr">
        <is>
          <t>Body Control</t>
        </is>
      </c>
      <c r="H13" s="3" t="inlineStr">
        <is>
          <t>GN=Verde, YL=Amarillo</t>
        </is>
      </c>
      <c r="I13" s="3" t="inlineStr">
        <is>
          <t>BCM C201 + C202 conectores</t>
        </is>
      </c>
      <c r="J13" s="47" t="inlineStr">
        <is>
          <t>CAN ISO15765-4 (2006+)</t>
        </is>
      </c>
      <c r="K13" s="3" t="inlineStr">
        <is>
          <t>Panel de instrumentos — lado conductor, detrás del tablero</t>
        </is>
      </c>
      <c r="L13" s="3" t="inlineStr">
        <is>
          <t>Problema común: el BCM del Aveo se daña por agua que ingresa desde el parabrisas. Síntoma: ventanas no funcionan, seguros erráticos, alarma intermitente</t>
        </is>
      </c>
    </row>
    <row r="14" ht="44" customHeight="1">
      <c r="A14" s="6" t="inlineStr">
        <is>
          <t>C003</t>
        </is>
      </c>
      <c r="B14" s="39" t="inlineStr">
        <is>
          <t>Chevrolet</t>
        </is>
      </c>
      <c r="C14" s="4" t="inlineStr">
        <is>
          <t>Suburban</t>
        </is>
      </c>
      <c r="D14" s="4" t="inlineStr">
        <is>
          <t>GMT800 / GMT900</t>
        </is>
      </c>
      <c r="E14" s="8" t="inlineStr">
        <is>
          <t>2000–2010</t>
        </is>
      </c>
      <c r="F14" s="49" t="inlineStr">
        <is>
          <t>PCM</t>
        </is>
      </c>
      <c r="G14" s="4" t="inlineStr">
        <is>
          <t>Powertrain 5.3L/6.0L V8</t>
        </is>
      </c>
      <c r="H14" s="4" t="inlineStr">
        <is>
          <t>LT BLU, DK GN</t>
        </is>
      </c>
      <c r="I14" s="4" t="inlineStr">
        <is>
          <t>C1 (Azul) + C2 (Verde) 32+32 pines</t>
        </is>
      </c>
      <c r="J14" s="50" t="inlineStr">
        <is>
          <t>CAN GMLAN ISO15765 (2005+), Class 2 VPW (pre-2005)</t>
        </is>
      </c>
      <c r="K14" s="4" t="inlineStr">
        <is>
          <t>Compartimento motor — lado conductor bajo el manifold</t>
        </is>
      </c>
      <c r="L14" s="4" t="inlineStr">
        <is>
          <t>Pre-2005: protocolo Class-2 J1850 VPW — necesita escáner con soporte J1850. Post-2005: CAN. Pines C1-40 y C2-57 = batería constante (naranja)</t>
        </is>
      </c>
    </row>
    <row r="15" ht="44" customHeight="1">
      <c r="A15" s="5" t="inlineStr">
        <is>
          <t>C004</t>
        </is>
      </c>
      <c r="B15" s="38" t="inlineStr">
        <is>
          <t>Chevrolet</t>
        </is>
      </c>
      <c r="C15" s="3" t="inlineStr">
        <is>
          <t>Silverado</t>
        </is>
      </c>
      <c r="D15" s="3" t="inlineStr">
        <is>
          <t>GMT800</t>
        </is>
      </c>
      <c r="E15" s="7" t="inlineStr">
        <is>
          <t>2000–2007</t>
        </is>
      </c>
      <c r="F15" s="46" t="inlineStr">
        <is>
          <t>PCM</t>
        </is>
      </c>
      <c r="G15" s="3" t="inlineStr">
        <is>
          <t>Powertrain LS V8</t>
        </is>
      </c>
      <c r="H15" s="3" t="inlineStr">
        <is>
          <t>OG=Naranja (batt), PK=Rosa (IGN)</t>
        </is>
      </c>
      <c r="I15" s="3" t="inlineStr">
        <is>
          <t>Azul 32 pines + Verde 32 pines</t>
        </is>
      </c>
      <c r="J15" s="47" t="inlineStr">
        <is>
          <t>Class 2 VPW / GMLAN CAN</t>
        </is>
      </c>
      <c r="K15" s="3" t="inlineStr">
        <is>
          <t>Compartimento motor — debajo del lado del conductor</t>
        </is>
      </c>
      <c r="L15" s="3" t="inlineStr">
        <is>
          <t>Tierras de chasis bajo la puerta del conductor se corroen en GMT800 — causa fallas de bomba de combustible y ABS sin componentes dañados. Limpiar tierras G103/G104 primero</t>
        </is>
      </c>
    </row>
    <row r="16" ht="44" customHeight="1">
      <c r="A16" s="6" t="inlineStr">
        <is>
          <t>F001</t>
        </is>
      </c>
      <c r="B16" s="53" t="inlineStr">
        <is>
          <t>Ford</t>
        </is>
      </c>
      <c r="C16" s="4" t="inlineStr">
        <is>
          <t>Focus</t>
        </is>
      </c>
      <c r="D16" s="4" t="inlineStr">
        <is>
          <t>C2 / C1 Platform</t>
        </is>
      </c>
      <c r="E16" s="8" t="inlineStr">
        <is>
          <t>2005–2025</t>
        </is>
      </c>
      <c r="F16" s="49" t="inlineStr">
        <is>
          <t>PCM</t>
        </is>
      </c>
      <c r="G16" s="4" t="inlineStr">
        <is>
          <t>Engine Control + PATS</t>
        </is>
      </c>
      <c r="H16" s="4" t="inlineStr">
        <is>
          <t>BK=Tierra, RD/WH=Power</t>
        </is>
      </c>
      <c r="I16" s="4" t="inlineStr">
        <is>
          <t>PCM C175A + C175B conectores</t>
        </is>
      </c>
      <c r="J16" s="50" t="inlineStr">
        <is>
          <t>CAN ISO15765-4 + PATS RF</t>
        </is>
      </c>
      <c r="K16" s="4" t="inlineStr">
        <is>
          <t>Compartimento motor — lateral derecho (pasajero)</t>
        </is>
      </c>
      <c r="L16" s="4" t="inlineStr">
        <is>
          <t>PCM incluye función PATS integrada. Al reemplazar PCM: requerido procedimiento PATS para registrar las llaves. Sin esto: motor no arranca aunque PCM esté correcto</t>
        </is>
      </c>
    </row>
    <row r="17" ht="44" customHeight="1">
      <c r="A17" s="5" t="inlineStr">
        <is>
          <t>F002</t>
        </is>
      </c>
      <c r="B17" s="54" t="inlineStr">
        <is>
          <t>Ford</t>
        </is>
      </c>
      <c r="C17" s="3" t="inlineStr">
        <is>
          <t>Maverick</t>
        </is>
      </c>
      <c r="D17" s="3" t="inlineStr">
        <is>
          <t>C2 Platform</t>
        </is>
      </c>
      <c r="E17" s="7" t="inlineStr">
        <is>
          <t>2022–2025</t>
        </is>
      </c>
      <c r="F17" s="46" t="inlineStr">
        <is>
          <t>BCM</t>
        </is>
      </c>
      <c r="G17" s="3" t="inlineStr">
        <is>
          <t>Comunicación CAN Gateway</t>
        </is>
      </c>
      <c r="H17" s="3" t="inlineStr">
        <is>
          <t>BU/YE=CAN Bus, OG/WH=Power</t>
        </is>
      </c>
      <c r="I17" s="3" t="inlineStr">
        <is>
          <t>Gateway central + módulos zonales</t>
        </is>
      </c>
      <c r="J17" s="47" t="inlineStr">
        <is>
          <t>CAN-FD + Automotive Ethernet</t>
        </is>
      </c>
      <c r="K17" s="3" t="inlineStr">
        <is>
          <t>Cabina — panel A del pasajero</t>
        </is>
      </c>
      <c r="L17" s="3" t="inlineStr">
        <is>
          <t>Arquitectura moderna con Gateway central. El BCM actúa como firewall entre CAN de powertrain y CAN de carrocería. Diagnóstico con IDS Ford o Forscan para acceso completo</t>
        </is>
      </c>
    </row>
    <row r="18" ht="44" customHeight="1">
      <c r="A18" s="6" t="inlineStr">
        <is>
          <t>F003</t>
        </is>
      </c>
      <c r="B18" s="53" t="inlineStr">
        <is>
          <t>Ford</t>
        </is>
      </c>
      <c r="C18" s="4" t="inlineStr">
        <is>
          <t>F-150 / Lobo</t>
        </is>
      </c>
      <c r="D18" s="4" t="inlineStr">
        <is>
          <t>P-Platform / P702</t>
        </is>
      </c>
      <c r="E18" s="8" t="inlineStr">
        <is>
          <t>2000–2025</t>
        </is>
      </c>
      <c r="F18" s="49" t="inlineStr">
        <is>
          <t>TCM</t>
        </is>
      </c>
      <c r="G18" s="4" t="inlineStr">
        <is>
          <t>Transmisión 6R80/10R80</t>
        </is>
      </c>
      <c r="H18" s="4" t="inlineStr">
        <is>
          <t>TN=Tan, PK=Pink</t>
        </is>
      </c>
      <c r="I18" s="4" t="inlineStr">
        <is>
          <t>TCM C1 + C2 conectores sellados</t>
        </is>
      </c>
      <c r="J18" s="50" t="inlineStr">
        <is>
          <t>CAN ISO15765-4</t>
        </is>
      </c>
      <c r="K18" s="4" t="inlineStr">
        <is>
          <t>Lateral de la transmisión — accesible desde debajo</t>
        </is>
      </c>
      <c r="L18" s="4" t="inlineStr">
        <is>
          <t>Post-2017: transmisión 10R80 con 10 velocidades. TCM actualizable por OTA en algunos años. Solenoides identificados por letra (A-G). Presión de prueba: 90-115 PSI en línea</t>
        </is>
      </c>
    </row>
    <row r="19" ht="44" customHeight="1">
      <c r="A19" s="5" t="inlineStr">
        <is>
          <t>F004</t>
        </is>
      </c>
      <c r="B19" s="54" t="inlineStr">
        <is>
          <t>Ford</t>
        </is>
      </c>
      <c r="C19" s="3" t="inlineStr">
        <is>
          <t>Ranger</t>
        </is>
      </c>
      <c r="D19" s="3" t="inlineStr">
        <is>
          <t>T6 Platform</t>
        </is>
      </c>
      <c r="E19" s="7" t="inlineStr">
        <is>
          <t>2019–2025</t>
        </is>
      </c>
      <c r="F19" s="46" t="inlineStr">
        <is>
          <t>PCM</t>
        </is>
      </c>
      <c r="G19" s="3" t="inlineStr">
        <is>
          <t>Engine Control 2.3L EcoBoost</t>
        </is>
      </c>
      <c r="H19" s="3" t="inlineStr">
        <is>
          <t>BK=Tierra, OR/WH=Señal</t>
        </is>
      </c>
      <c r="I19" s="3" t="inlineStr">
        <is>
          <t>PCM 3 conectores C175A/B/C</t>
        </is>
      </c>
      <c r="J19" s="47" t="inlineStr">
        <is>
          <t>CAN ISO15765-4</t>
        </is>
      </c>
      <c r="K19" s="3" t="inlineStr">
        <is>
          <t>Compartimento motor — bajo el filtro de aire</t>
        </is>
      </c>
      <c r="L19" s="3" t="inlineStr">
        <is>
          <t>Motor 2.3L EcoBoost turbo — PCM gestiona boost, VCT, y sistema de emisiones. Calibración OEM requerida al reemplazar. IDS Ford o FORSCAN para programación PATS</t>
        </is>
      </c>
    </row>
    <row r="20" ht="44" customHeight="1">
      <c r="A20" s="6" t="inlineStr">
        <is>
          <t>H001</t>
        </is>
      </c>
      <c r="B20" s="55" t="inlineStr">
        <is>
          <t>Honda</t>
        </is>
      </c>
      <c r="C20" s="4" t="inlineStr">
        <is>
          <t>Civic</t>
        </is>
      </c>
      <c r="D20" s="4" t="inlineStr">
        <is>
          <t>FC / FE Platform</t>
        </is>
      </c>
      <c r="E20" s="8" t="inlineStr">
        <is>
          <t>2005–2025</t>
        </is>
      </c>
      <c r="F20" s="49" t="inlineStr">
        <is>
          <t>ECM/PCM</t>
        </is>
      </c>
      <c r="G20" s="4" t="inlineStr">
        <is>
          <t>PGM-FI + VTEC</t>
        </is>
      </c>
      <c r="H20" s="4" t="inlineStr">
        <is>
          <t>B=Negro, R/Y=Power</t>
        </is>
      </c>
      <c r="I20" s="4" t="inlineStr">
        <is>
          <t>C101 (22p) + C102 (25p)</t>
        </is>
      </c>
      <c r="J20" s="50" t="inlineStr">
        <is>
          <t>ISO 9141-2 (pre-2006) / CAN ISO15765</t>
        </is>
      </c>
      <c r="K20" s="4" t="inlineStr">
        <is>
          <t>Compartimento motor — lado del pasajero bajo el múltiple</t>
        </is>
      </c>
      <c r="L20" s="4" t="inlineStr">
        <is>
          <t>VTEC controlado por solenoide OCV. Presión de aceite activa el VTEC a RPM definidas por ECM. Código P1259 = presión de aceite insuficiente para activar VTEC (aceite sucio o bomba débil)</t>
        </is>
      </c>
    </row>
    <row r="21" ht="44" customHeight="1">
      <c r="A21" s="5" t="inlineStr">
        <is>
          <t>H002</t>
        </is>
      </c>
      <c r="B21" s="56" t="inlineStr">
        <is>
          <t>Honda</t>
        </is>
      </c>
      <c r="C21" s="3" t="inlineStr">
        <is>
          <t>CRV</t>
        </is>
      </c>
      <c r="D21" s="3" t="inlineStr">
        <is>
          <t>CRV Platform / RD/RE</t>
        </is>
      </c>
      <c r="E21" s="7" t="inlineStr">
        <is>
          <t>2012–2025</t>
        </is>
      </c>
      <c r="F21" s="46" t="inlineStr">
        <is>
          <t>BCM</t>
        </is>
      </c>
      <c r="G21" s="3" t="inlineStr">
        <is>
          <t>Multiplexado MICU</t>
        </is>
      </c>
      <c r="H21" s="3" t="inlineStr">
        <is>
          <t>LT BLU, LT GRN</t>
        </is>
      </c>
      <c r="I21" s="3" t="inlineStr">
        <is>
          <t>MICU con múltiples salidas LIN</t>
        </is>
      </c>
      <c r="J21" s="47" t="inlineStr">
        <is>
          <t>CAN + LIN sub-buses</t>
        </is>
      </c>
      <c r="K21" s="3" t="inlineStr">
        <is>
          <t>Cabina — detrás del panel de instrumentos</t>
        </is>
      </c>
      <c r="L21" s="3" t="inlineStr">
        <is>
          <t>El MICU (Multiplex Integrated Control Unit) de Honda controla ventanas, seguros, luces y espejos vía LIN bus. Fallo del MICU: múltiples funciones de carrocería dejan de responder simultáneamente</t>
        </is>
      </c>
    </row>
    <row r="22" ht="44" customHeight="1">
      <c r="A22" s="6" t="inlineStr">
        <is>
          <t>H003</t>
        </is>
      </c>
      <c r="B22" s="55" t="inlineStr">
        <is>
          <t>Honda</t>
        </is>
      </c>
      <c r="C22" s="4" t="inlineStr">
        <is>
          <t>Fit / Jazz</t>
        </is>
      </c>
      <c r="D22" s="4" t="inlineStr">
        <is>
          <t>GD / GE Platform</t>
        </is>
      </c>
      <c r="E22" s="8" t="inlineStr">
        <is>
          <t>2007–2020</t>
        </is>
      </c>
      <c r="F22" s="49" t="inlineStr">
        <is>
          <t>TCM</t>
        </is>
      </c>
      <c r="G22" s="4" t="inlineStr">
        <is>
          <t>Transmisión Automática CVT/AT</t>
        </is>
      </c>
      <c r="H22" s="4" t="inlineStr">
        <is>
          <t>L=Azul, Y=Amarillo</t>
        </is>
      </c>
      <c r="I22" s="4" t="inlineStr">
        <is>
          <t>TCM A (14p) + TCM B (12p)</t>
        </is>
      </c>
      <c r="J22" s="50" t="inlineStr">
        <is>
          <t>CAN ISO15765-4</t>
        </is>
      </c>
      <c r="K22" s="4" t="inlineStr">
        <is>
          <t>Caja de transmisión — parte superior lateral</t>
        </is>
      </c>
      <c r="L22" s="4" t="inlineStr">
        <is>
          <t>Fit CVT: TCM controla relación continua. Si el aceite CVT está degradado: TCM detecta slip y limita la relación. DTC P0868 = presión de línea baja. Cambio de aceite CVT resuelve sin reemplazar TCM</t>
        </is>
      </c>
    </row>
    <row r="23" ht="44" customHeight="1">
      <c r="A23" s="5" t="inlineStr">
        <is>
          <t>S001</t>
        </is>
      </c>
      <c r="B23" s="57" t="inlineStr">
        <is>
          <t>Seat</t>
        </is>
      </c>
      <c r="C23" s="3" t="inlineStr">
        <is>
          <t>Ibiza</t>
        </is>
      </c>
      <c r="D23" s="3" t="inlineStr">
        <is>
          <t>MQB A0</t>
        </is>
      </c>
      <c r="E23" s="7" t="inlineStr">
        <is>
          <t>2017–2025</t>
        </is>
      </c>
      <c r="F23" s="46" t="inlineStr">
        <is>
          <t>ECM/PCM</t>
        </is>
      </c>
      <c r="G23" s="3" t="inlineStr">
        <is>
          <t>Engine Control J623</t>
        </is>
      </c>
      <c r="H23" s="3" t="inlineStr">
        <is>
          <t>SW=Negro, RT=Rojo</t>
        </is>
      </c>
      <c r="I23" s="3" t="inlineStr">
        <is>
          <t>Bosch MED17 — módulo J623</t>
        </is>
      </c>
      <c r="J23" s="47" t="inlineStr">
        <is>
          <t>CAN ISO15765-4 + K-Line legacy</t>
        </is>
      </c>
      <c r="K23" s="3" t="inlineStr">
        <is>
          <t>Bajo el panel izquierdo — acceso desde el motor</t>
        </is>
      </c>
      <c r="L23" s="3" t="inlineStr">
        <is>
          <t>Comparte plataforma y ECM con VW Polo MQB A0 y Skoda Fabia IV. El número J623 identifica al ECM principal en los diagramas VAG. CS (Component Security) necesario para programar</t>
        </is>
      </c>
    </row>
    <row r="24" ht="44" customHeight="1">
      <c r="A24" s="6" t="inlineStr">
        <is>
          <t>S002</t>
        </is>
      </c>
      <c r="B24" s="58" t="inlineStr">
        <is>
          <t>Seat</t>
        </is>
      </c>
      <c r="C24" s="4" t="inlineStr">
        <is>
          <t>León</t>
        </is>
      </c>
      <c r="D24" s="4" t="inlineStr">
        <is>
          <t>MQB Plataforma</t>
        </is>
      </c>
      <c r="E24" s="8" t="inlineStr">
        <is>
          <t>2013–2025</t>
        </is>
      </c>
      <c r="F24" s="49" t="inlineStr">
        <is>
          <t>BCM</t>
        </is>
      </c>
      <c r="G24" s="4" t="inlineStr">
        <is>
          <t>Body Control + LED</t>
        </is>
      </c>
      <c r="H24" s="4" t="inlineStr">
        <is>
          <t>BL=Azul, GN=Verde</t>
        </is>
      </c>
      <c r="I24" s="4" t="inlineStr">
        <is>
          <t>BCM J519 + módulos auxiliares</t>
        </is>
      </c>
      <c r="J24" s="50" t="inlineStr">
        <is>
          <t>CAN + LIN sub-buses</t>
        </is>
      </c>
      <c r="K24" s="4" t="inlineStr">
        <is>
          <t>Panel de instrumentos — lateral conductor</t>
        </is>
      </c>
      <c r="L24" s="4" t="inlineStr">
        <is>
          <t>El J519 (BCM central VAG) controla luces LED adaptativas, calefacción de asientos, espejo y acceso. Programación con VCDS requiere codificación de canal específica del equipamiento instalado</t>
        </is>
      </c>
    </row>
    <row r="25" ht="44" customHeight="1">
      <c r="A25" s="5" t="inlineStr">
        <is>
          <t>M001</t>
        </is>
      </c>
      <c r="B25" s="45" t="inlineStr">
        <is>
          <t>Nissan</t>
        </is>
      </c>
      <c r="C25" s="3" t="inlineStr">
        <is>
          <t>Tsuru</t>
        </is>
      </c>
      <c r="D25" s="3" t="inlineStr">
        <is>
          <t>B13 / GA16DE</t>
        </is>
      </c>
      <c r="E25" s="7" t="inlineStr">
        <is>
          <t>1992–2017</t>
        </is>
      </c>
      <c r="F25" s="46" t="inlineStr">
        <is>
          <t>ECU</t>
        </is>
      </c>
      <c r="G25" s="3" t="inlineStr">
        <is>
          <t>Engine Control OBD-I</t>
        </is>
      </c>
      <c r="H25" s="3" t="inlineStr">
        <is>
          <t>B=Tierra, W=Power (arnés simple)</t>
        </is>
      </c>
      <c r="I25" s="3" t="inlineStr">
        <is>
          <t>ECU 76 pines — 1 conector grande</t>
        </is>
      </c>
      <c r="J25" s="47" t="inlineStr">
        <is>
          <t>ISO 9141 / OBD-I pre-1996</t>
        </is>
      </c>
      <c r="K25" s="3" t="inlineStr">
        <is>
          <t>Bajo el tablero — lado del pasajero</t>
        </is>
      </c>
      <c r="L25" s="3" t="inlineStr">
        <is>
          <t>ECU más común en México. El tornillo selector en la ECU activa Modo I (RPM) y Modo II (DTC). Código 55 = Todo OK. Código 12 = MAF. Código 34 = Sensor detonación</t>
        </is>
      </c>
    </row>
    <row r="26" ht="44" customHeight="1">
      <c r="A26" s="6" t="inlineStr">
        <is>
          <t>M002</t>
        </is>
      </c>
      <c r="B26" s="48" t="inlineStr">
        <is>
          <t>Nissan</t>
        </is>
      </c>
      <c r="C26" s="4" t="inlineStr">
        <is>
          <t>Urvan</t>
        </is>
      </c>
      <c r="D26" s="4" t="inlineStr">
        <is>
          <t>E26 / QR25/YD25</t>
        </is>
      </c>
      <c r="E26" s="8" t="inlineStr">
        <is>
          <t>2012–2025</t>
        </is>
      </c>
      <c r="F26" s="49" t="inlineStr">
        <is>
          <t>ECM</t>
        </is>
      </c>
      <c r="G26" s="4" t="inlineStr">
        <is>
          <t>Engine Control Diesel/Gas</t>
        </is>
      </c>
      <c r="H26" s="4" t="inlineStr">
        <is>
          <t>B=Tierra, R=Power, G=Sensor</t>
        </is>
      </c>
      <c r="I26" s="4" t="inlineStr">
        <is>
          <t>ECM E16 (gas) / EDC17 (diesel)</t>
        </is>
      </c>
      <c r="J26" s="50" t="inlineStr">
        <is>
          <t>CAN ISO15765-4</t>
        </is>
      </c>
      <c r="K26" s="4" t="inlineStr">
        <is>
          <t>Compartimento motor — lateral conductor</t>
        </is>
      </c>
      <c r="L26" s="4" t="inlineStr">
        <is>
          <t>Versión diésel (YD25 turbo): ECU EDC17 Bosch. Versión gasolina QR25: ECM Nissan estándar. No intercambiables. El IPDM E/R es común a ambas versiones</t>
        </is>
      </c>
    </row>
    <row r="27" ht="44" customHeight="1">
      <c r="A27" s="5" t="inlineStr">
        <is>
          <t>M003</t>
        </is>
      </c>
      <c r="B27" s="51" t="inlineStr">
        <is>
          <t>Volkswagen</t>
        </is>
      </c>
      <c r="C27" s="3" t="inlineStr">
        <is>
          <t>Golf A4</t>
        </is>
      </c>
      <c r="D27" s="3" t="inlineStr">
        <is>
          <t>Mk4 / AZJ/AGZ/1.8T</t>
        </is>
      </c>
      <c r="E27" s="7" t="inlineStr">
        <is>
          <t>1998–2006</t>
        </is>
      </c>
      <c r="F27" s="46" t="inlineStr">
        <is>
          <t>ECM</t>
        </is>
      </c>
      <c r="G27" s="3" t="inlineStr">
        <is>
          <t>Bosch ME7.5.10 / Magneti Marelli</t>
        </is>
      </c>
      <c r="H27" s="3" t="inlineStr">
        <is>
          <t>BR=Marrón (masa), SW=Negro</t>
        </is>
      </c>
      <c r="I27" s="3" t="inlineStr">
        <is>
          <t>Bosch ME7.5.10: 2 conectores 58+58 pines</t>
        </is>
      </c>
      <c r="J27" s="47" t="inlineStr">
        <is>
          <t>K-Line ISO9141-2 / OBD-II</t>
        </is>
      </c>
      <c r="K27" s="3" t="inlineStr">
        <is>
          <t>Caja de limpiaparabrisas (cowl) — acceso superior</t>
        </is>
      </c>
      <c r="L27" s="3" t="inlineStr">
        <is>
          <t>Muy común en México. Acceso al ECM por cowl requiere quitar brazos del limpiaparabrisas. Pin 43 = Línea K (diagnóstico). El IMMO ID48 del Golf A4 requiere CS para programar llaves</t>
        </is>
      </c>
    </row>
    <row r="28" ht="44" customHeight="1">
      <c r="A28" s="6" t="inlineStr">
        <is>
          <t>M004</t>
        </is>
      </c>
      <c r="B28" s="39" t="inlineStr">
        <is>
          <t>Chevrolet</t>
        </is>
      </c>
      <c r="C28" s="4" t="inlineStr">
        <is>
          <t>Spark</t>
        </is>
      </c>
      <c r="D28" s="4" t="inlineStr">
        <is>
          <t>M300 Platform</t>
        </is>
      </c>
      <c r="E28" s="8" t="inlineStr">
        <is>
          <t>2010–2022</t>
        </is>
      </c>
      <c r="F28" s="49" t="inlineStr">
        <is>
          <t>PCM</t>
        </is>
      </c>
      <c r="G28" s="4" t="inlineStr">
        <is>
          <t>Engine Control 1.0/1.2L</t>
        </is>
      </c>
      <c r="H28" s="4" t="inlineStr">
        <is>
          <t>BK=Negro, RD=Rojo, GY=Gris</t>
        </is>
      </c>
      <c r="I28" s="4" t="inlineStr">
        <is>
          <t>PCM C1 (26p) + C2 (26p)</t>
        </is>
      </c>
      <c r="J28" s="50" t="inlineStr">
        <is>
          <t>CAN ISO15765-4</t>
        </is>
      </c>
      <c r="K28" s="4" t="inlineStr">
        <is>
          <t>Compartimento motor — bajo el panel derecho</t>
        </is>
      </c>
      <c r="L28" s="4" t="inlineStr">
        <is>
          <t>Motor pequeño pero ECU con múltiples parámetros. Problema común: PCM se daña por humedad que ingresa desde el parabrisas. Síntoma: No arranca + múltiples DTCs sin causa aparente</t>
        </is>
      </c>
    </row>
    <row r="29" ht="44" customHeight="1">
      <c r="A29" s="5" t="inlineStr">
        <is>
          <t>M005</t>
        </is>
      </c>
      <c r="B29" s="9" t="inlineStr">
        <is>
          <t>Toyota</t>
        </is>
      </c>
      <c r="C29" s="3" t="inlineStr">
        <is>
          <t>Hilux</t>
        </is>
      </c>
      <c r="D29" s="3" t="inlineStr">
        <is>
          <t>N70/N80 / 2TR-FE/1KD</t>
        </is>
      </c>
      <c r="E29" s="7" t="inlineStr">
        <is>
          <t>2005–2025</t>
        </is>
      </c>
      <c r="F29" s="46" t="inlineStr">
        <is>
          <t>ECM</t>
        </is>
      </c>
      <c r="G29" s="3" t="inlineStr">
        <is>
          <t>Engine Control EFI</t>
        </is>
      </c>
      <c r="H29" s="3" t="inlineStr">
        <is>
          <t>B=Negro, W=Blanco (arnés Toyota)</t>
        </is>
      </c>
      <c r="I29" s="3" t="inlineStr">
        <is>
          <t>ECM J/B integrado — múltiples conectores</t>
        </is>
      </c>
      <c r="J29" s="47" t="inlineStr">
        <is>
          <t>ISO 9141-2 (pre-2005) / CAN ISO15765</t>
        </is>
      </c>
      <c r="K29" s="3" t="inlineStr">
        <is>
          <t>Compartimento motor — bajo el panel del pasajero</t>
        </is>
      </c>
      <c r="L29" s="3" t="inlineStr">
        <is>
          <t>Hilux con 1KD-FTV diesel: ECU Denso con gestión Common Rail. VVTi en versión gasolina (2TR-FE). El sistema Smart Key en versiones 2020+: Certification ECU separada del ECM motor</t>
        </is>
      </c>
    </row>
    <row r="30" ht="44" customHeight="1">
      <c r="A30" s="6" t="inlineStr">
        <is>
          <t>M006</t>
        </is>
      </c>
      <c r="B30" s="10" t="inlineStr">
        <is>
          <t>Toyota</t>
        </is>
      </c>
      <c r="C30" s="4" t="inlineStr">
        <is>
          <t>Corolla</t>
        </is>
      </c>
      <c r="D30" s="4" t="inlineStr">
        <is>
          <t>E120/E150/E210 / 1ZZ/2ZR/M20A</t>
        </is>
      </c>
      <c r="E30" s="8" t="inlineStr">
        <is>
          <t>2000–2025</t>
        </is>
      </c>
      <c r="F30" s="49" t="inlineStr">
        <is>
          <t>ECM</t>
        </is>
      </c>
      <c r="G30" s="4" t="inlineStr">
        <is>
          <t>Engine Control TCCS</t>
        </is>
      </c>
      <c r="H30" s="4" t="inlineStr">
        <is>
          <t>B=Negro, W=Blanco, G=Verde (señal)</t>
        </is>
      </c>
      <c r="I30" s="4" t="inlineStr">
        <is>
          <t>ECM J/C3 + J/C4 conectores Toyota</t>
        </is>
      </c>
      <c r="J30" s="50" t="inlineStr">
        <is>
          <t>ISO 9141-2 / CAN ISO15765-4</t>
        </is>
      </c>
      <c r="K30" s="4" t="inlineStr">
        <is>
          <t>Bajo el tablero — lado pasajero</t>
        </is>
      </c>
      <c r="L30" s="4" t="inlineStr">
        <is>
          <t>1ZZ-FE (2000-2008): sin VVTi en admisión Y escape. 2ZR-FE (2009+): VVTi doble. M20A-FKS (2019+): ciclo Atkinson + inyección directa. El motor cambia pero el conector OBD2 permanece estándar</t>
        </is>
      </c>
    </row>
    <row r="31" ht="44" customHeight="1">
      <c r="A31" s="11" t="n"/>
      <c r="B31" s="11" t="n"/>
      <c r="C31" s="11" t="n"/>
      <c r="D31" s="11" t="n"/>
      <c r="E31" s="11" t="n"/>
      <c r="F31" s="11" t="n"/>
      <c r="G31" s="11" t="n"/>
      <c r="H31" s="11" t="n"/>
      <c r="I31" s="11" t="n"/>
      <c r="J31" s="11" t="n"/>
      <c r="K31" s="11" t="n"/>
      <c r="L31" s="11" t="n"/>
    </row>
    <row r="33" ht="20" customHeight="1">
      <c r="A33" s="1" t="inlineStr">
        <is>
          <t>MÓDULO DE REFERENCIA — Estandarización de Colores de Cable por Fabricante (Cross-Reference)</t>
        </is>
      </c>
    </row>
    <row r="34">
      <c r="A34" s="44" t="inlineStr">
        <is>
          <t>Abrev. Nissan/Honda/Toyota</t>
        </is>
      </c>
      <c r="B34" s="44" t="inlineStr">
        <is>
          <t>Abrev. GM/Ford</t>
        </is>
      </c>
      <c r="C34" s="44" t="inlineStr">
        <is>
          <t>Abrev. VW/Audi/SEAT (DIN)</t>
        </is>
      </c>
      <c r="D34" s="44" t="inlineStr">
        <is>
          <t>Color Base</t>
        </is>
      </c>
      <c r="E34" s="44" t="inlineStr">
        <is>
          <t>Función Común</t>
        </is>
      </c>
      <c r="F34" s="44" t="inlineStr">
        <is>
          <t>Sistemas Típicos</t>
        </is>
      </c>
      <c r="G34" s="44" t="inlineStr">
        <is>
          <t>Voltaje/Señal Esperada</t>
        </is>
      </c>
    </row>
    <row r="35" ht="36" customHeight="1">
      <c r="A35" s="5" t="inlineStr">
        <is>
          <t>B</t>
        </is>
      </c>
      <c r="B35" s="5" t="inlineStr">
        <is>
          <t>BK / BLK</t>
        </is>
      </c>
      <c r="C35" s="5" t="inlineStr">
        <is>
          <t>BR (Braun/Marrón)</t>
        </is>
      </c>
      <c r="D35" s="7" t="inlineStr">
        <is>
          <t>Negro / Marrón</t>
        </is>
      </c>
      <c r="E35" s="45" t="inlineStr">
        <is>
          <t>Tierra / Masa (GND)</t>
        </is>
      </c>
      <c r="F35" s="3" t="inlineStr">
        <is>
          <t>Todos los sensores y actuadores</t>
        </is>
      </c>
      <c r="G35" s="3" t="inlineStr">
        <is>
          <t>0V — máx 100mV drop</t>
        </is>
      </c>
    </row>
    <row r="36" ht="36" customHeight="1">
      <c r="A36" s="6" t="inlineStr">
        <is>
          <t>W</t>
        </is>
      </c>
      <c r="B36" s="6" t="inlineStr">
        <is>
          <t>W / WT</t>
        </is>
      </c>
      <c r="C36" s="6" t="inlineStr">
        <is>
          <t>WS (Weiss/Blanco)</t>
        </is>
      </c>
      <c r="D36" s="8" t="inlineStr">
        <is>
          <t>Blanco</t>
        </is>
      </c>
      <c r="E36" s="48" t="inlineStr">
        <is>
          <t>Alimentación constante B+ / KL30</t>
        </is>
      </c>
      <c r="F36" s="4" t="inlineStr">
        <is>
          <t>ECM, BCM, bombas, relevadores</t>
        </is>
      </c>
      <c r="G36" s="4" t="inlineStr">
        <is>
          <t>12V–14.5V constante sin llave</t>
        </is>
      </c>
    </row>
    <row r="37" ht="36" customHeight="1">
      <c r="A37" s="5" t="inlineStr">
        <is>
          <t>R</t>
        </is>
      </c>
      <c r="B37" s="5" t="inlineStr">
        <is>
          <t>RD / RED</t>
        </is>
      </c>
      <c r="C37" s="5" t="inlineStr">
        <is>
          <t>RT (Rot/Rojo)</t>
        </is>
      </c>
      <c r="D37" s="7" t="inlineStr">
        <is>
          <t>Rojo</t>
        </is>
      </c>
      <c r="E37" s="45" t="inlineStr">
        <is>
          <t>Alimentación bajo llave KL15 / Fusibles</t>
        </is>
      </c>
      <c r="F37" s="3" t="inlineStr">
        <is>
          <t>Inyectores, bobinas, ECM ignición</t>
        </is>
      </c>
      <c r="G37" s="3" t="inlineStr">
        <is>
          <t>12V solo con llave ON</t>
        </is>
      </c>
    </row>
    <row r="38" ht="36" customHeight="1">
      <c r="A38" s="6" t="inlineStr">
        <is>
          <t>L / BL</t>
        </is>
      </c>
      <c r="B38" s="6" t="inlineStr">
        <is>
          <t>BU / BL</t>
        </is>
      </c>
      <c r="C38" s="6" t="inlineStr">
        <is>
          <t>BL (Blau/Azul)</t>
        </is>
      </c>
      <c r="D38" s="8" t="inlineStr">
        <is>
          <t>Azul</t>
        </is>
      </c>
      <c r="E38" s="48" t="inlineStr">
        <is>
          <t>Señal de sensor o actuador</t>
        </is>
      </c>
      <c r="F38" s="4" t="inlineStr">
        <is>
          <t>CKP, CMP, sensores O2, inyectores</t>
        </is>
      </c>
      <c r="G38" s="4" t="inlineStr">
        <is>
          <t>Variable según sensor — 0V-12V o AC</t>
        </is>
      </c>
    </row>
    <row r="39" ht="36" customHeight="1">
      <c r="A39" s="5" t="inlineStr">
        <is>
          <t>G</t>
        </is>
      </c>
      <c r="B39" s="5" t="inlineStr">
        <is>
          <t>GN / GRN</t>
        </is>
      </c>
      <c r="C39" s="5" t="inlineStr">
        <is>
          <t>GN (Grün/Verde)</t>
        </is>
      </c>
      <c r="D39" s="7" t="inlineStr">
        <is>
          <t>Verde</t>
        </is>
      </c>
      <c r="E39" s="45" t="inlineStr">
        <is>
          <t>Señal de sensor / Control</t>
        </is>
      </c>
      <c r="F39" s="3" t="inlineStr">
        <is>
          <t>MAF VG, TPS señal, CAN-L en VAG</t>
        </is>
      </c>
      <c r="G39" s="3" t="inlineStr">
        <is>
          <t>Variable — 0V-5V analógico o digital</t>
        </is>
      </c>
    </row>
    <row r="40" ht="36" customHeight="1">
      <c r="A40" s="6" t="inlineStr">
        <is>
          <t>Y</t>
        </is>
      </c>
      <c r="B40" s="6" t="inlineStr">
        <is>
          <t>YL / YEL</t>
        </is>
      </c>
      <c r="C40" s="6" t="inlineStr">
        <is>
          <t>GE (Gelb/Amarillo)</t>
        </is>
      </c>
      <c r="D40" s="8" t="inlineStr">
        <is>
          <t>Amarillo</t>
        </is>
      </c>
      <c r="E40" s="48" t="inlineStr">
        <is>
          <t>Instrumentación / CAN Bus VAG</t>
        </is>
      </c>
      <c r="F40" s="4" t="inlineStr">
        <is>
          <t>Tacómetro, CAN-H en VAG, señal de sensor</t>
        </is>
      </c>
      <c r="G40" s="4" t="inlineStr">
        <is>
          <t>Variable — 2.5V-3.5V en CAN-H</t>
        </is>
      </c>
    </row>
    <row r="41" ht="36" customHeight="1">
      <c r="A41" s="5" t="inlineStr">
        <is>
          <t>LG</t>
        </is>
      </c>
      <c r="B41" s="5" t="inlineStr">
        <is>
          <t>LT GRN</t>
        </is>
      </c>
      <c r="C41" s="5" t="inlineStr">
        <is>
          <t>—</t>
        </is>
      </c>
      <c r="D41" s="7" t="inlineStr">
        <is>
          <t>Verde Claro</t>
        </is>
      </c>
      <c r="E41" s="45" t="inlineStr">
        <is>
          <t>Señal de sensor específico</t>
        </is>
      </c>
      <c r="F41" s="3" t="inlineStr">
        <is>
          <t>IAT, sensor de temperatura, O2 upstream</t>
        </is>
      </c>
      <c r="G41" s="3" t="inlineStr">
        <is>
          <t>Variable NTC / 0.1V-4.5V</t>
        </is>
      </c>
    </row>
    <row r="42" ht="36" customHeight="1">
      <c r="A42" s="6" t="inlineStr">
        <is>
          <t>OR / OG</t>
        </is>
      </c>
      <c r="B42" s="6" t="inlineStr">
        <is>
          <t>OG / ORG</t>
        </is>
      </c>
      <c r="C42" s="6" t="inlineStr">
        <is>
          <t>—</t>
        </is>
      </c>
      <c r="D42" s="8" t="inlineStr">
        <is>
          <t>Naranja</t>
        </is>
      </c>
      <c r="E42" s="48" t="inlineStr">
        <is>
          <t>Positivo batería en GM PCM / Alta Tensión EV</t>
        </is>
      </c>
      <c r="F42" s="4" t="inlineStr">
        <is>
          <t>PCM pin de batería GM LS / Cables HV EV/HEV</t>
        </is>
      </c>
      <c r="G42" s="4" t="inlineStr">
        <is>
          <t>12V (GM) / 400-800V (HV EV) — PELIGRO si naranja en EV</t>
        </is>
      </c>
    </row>
    <row r="43" ht="36" customHeight="1">
      <c r="A43" s="5" t="inlineStr">
        <is>
          <t>PK / P</t>
        </is>
      </c>
      <c r="B43" s="5" t="inlineStr">
        <is>
          <t>PK / PNK</t>
        </is>
      </c>
      <c r="C43" s="5" t="inlineStr">
        <is>
          <t>RS (Rosa)</t>
        </is>
      </c>
      <c r="D43" s="7" t="inlineStr">
        <is>
          <t>Rosa</t>
        </is>
      </c>
      <c r="E43" s="45" t="inlineStr">
        <is>
          <t>Ignición KL15 en PCM GM / Señal específica</t>
        </is>
      </c>
      <c r="F43" s="3" t="inlineStr">
        <is>
          <t>PCM LS conectores azul/verde GM</t>
        </is>
      </c>
      <c r="G43" s="3" t="inlineStr">
        <is>
          <t>12V con llave ON — 0V apagado</t>
        </is>
      </c>
    </row>
    <row r="44" ht="36" customHeight="1">
      <c r="A44" s="6" t="inlineStr">
        <is>
          <t>GY / GR</t>
        </is>
      </c>
      <c r="B44" s="6" t="inlineStr">
        <is>
          <t>GY / GRY</t>
        </is>
      </c>
      <c r="C44" s="6" t="inlineStr">
        <is>
          <t>GR (Grau/Gris)</t>
        </is>
      </c>
      <c r="D44" s="8" t="inlineStr">
        <is>
          <t>Gris</t>
        </is>
      </c>
      <c r="E44" s="48" t="inlineStr">
        <is>
          <t>Voltaje de referencia 5V (Vref) / Señal</t>
        </is>
      </c>
      <c r="F44" s="4" t="inlineStr">
        <is>
          <t>TPS, MAP, APP — pin Vref</t>
        </is>
      </c>
      <c r="G44" s="4" t="inlineStr">
        <is>
          <t>5.00V ±0.05V — muy estable</t>
        </is>
      </c>
    </row>
    <row r="45" ht="36" customHeight="1">
      <c r="A45" s="5" t="inlineStr">
        <is>
          <t>TN</t>
        </is>
      </c>
      <c r="B45" s="5" t="inlineStr">
        <is>
          <t>TN / TAN</t>
        </is>
      </c>
      <c r="C45" s="5" t="inlineStr">
        <is>
          <t>—</t>
        </is>
      </c>
      <c r="D45" s="7" t="inlineStr">
        <is>
          <t>Tan (Beige)</t>
        </is>
      </c>
      <c r="E45" s="45" t="inlineStr">
        <is>
          <t>Señal específica Ford transmisión</t>
        </is>
      </c>
      <c r="F45" s="3" t="inlineStr">
        <is>
          <t>Solenoides TCM Ford 6R80/10R80</t>
        </is>
      </c>
      <c r="G45" s="3" t="inlineStr">
        <is>
          <t>Variable según solenoide</t>
        </is>
      </c>
    </row>
    <row r="46" ht="36" customHeight="1">
      <c r="A46" s="6" t="inlineStr">
        <is>
          <t>CAN H</t>
        </is>
      </c>
      <c r="B46" s="6" t="inlineStr">
        <is>
          <t>—</t>
        </is>
      </c>
      <c r="C46" s="6" t="inlineStr">
        <is>
          <t>GE (Amarillo en VAG)</t>
        </is>
      </c>
      <c r="D46" s="8" t="inlineStr">
        <is>
          <t>Amarillo (VAG) / Variable</t>
        </is>
      </c>
      <c r="E46" s="48" t="inlineStr">
        <is>
          <t>Bus CAN High</t>
        </is>
      </c>
      <c r="F46" s="4" t="inlineStr">
        <is>
          <t>Red de datos entre módulos</t>
        </is>
      </c>
      <c r="G46" s="4" t="inlineStr">
        <is>
          <t>2.5V reposo / 3.5V activo — par trenzado con CAN-L</t>
        </is>
      </c>
    </row>
    <row r="47" ht="36" customHeight="1">
      <c r="A47" s="11" t="n"/>
      <c r="B47" s="11" t="n"/>
      <c r="C47" s="11" t="n"/>
      <c r="D47" s="11" t="n"/>
      <c r="E47" s="11" t="n"/>
      <c r="F47" s="11" t="n"/>
      <c r="G47" s="11" t="n"/>
    </row>
  </sheetData>
  <mergeCells count="2">
    <mergeCell ref="A33:H33"/>
    <mergeCell ref="A1:K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58"/>
  <sheetViews>
    <sheetView showGridLines="0" workbookViewId="0">
      <selection activeCell="A1" sqref="A1"/>
    </sheetView>
  </sheetViews>
  <sheetFormatPr baseColWidth="8" defaultRowHeight="15"/>
  <cols>
    <col width="18" customWidth="1" min="1" max="1"/>
    <col width="22" customWidth="1" min="2" max="2"/>
    <col width="50" customWidth="1" min="3" max="3"/>
    <col width="20" customWidth="1" min="4" max="4"/>
    <col width="20" customWidth="1" min="5" max="5"/>
    <col width="40" customWidth="1" min="6" max="6"/>
  </cols>
  <sheetData>
    <row r="1" ht="24" customHeight="1">
      <c r="A1" s="1" t="inlineStr">
        <is>
          <t>API DONGLE PULSAR — Especificaciones C/C++ ↔ Cloud Functions (Firebase) | ProPart System V12</t>
        </is>
      </c>
    </row>
    <row r="2" ht="20" customHeight="1">
      <c r="A2" s="1" t="inlineStr">
        <is>
          <t>I. SEGURIDAD Y AUTENTICACIÓN DEL HARDWARE — Token de Dispositivo (LIC_TOKEN)</t>
        </is>
      </c>
    </row>
    <row r="3" ht="44" customHeight="1">
      <c r="A3" s="44" t="inlineStr">
        <is>
          <t>Aspecto</t>
        </is>
      </c>
      <c r="B3" s="44" t="inlineStr">
        <is>
          <t>Especificación</t>
        </is>
      </c>
      <c r="C3" s="44" t="inlineStr">
        <is>
          <t>Implementación en Firmware C/C++</t>
        </is>
      </c>
      <c r="D3" s="44" t="inlineStr">
        <is>
          <t>Verificación en Cloud</t>
        </is>
      </c>
      <c r="E3" s="44" t="inlineStr">
        <is>
          <t>Nota de Seguridad</t>
        </is>
      </c>
    </row>
    <row r="4" ht="44" customHeight="1">
      <c r="A4" s="9" t="inlineStr">
        <is>
          <t>Método de Auth</t>
        </is>
      </c>
      <c r="B4" s="3" t="inlineStr">
        <is>
          <t>API Key fija por hardware (LIC_TOKEN)</t>
        </is>
      </c>
      <c r="C4" s="3" t="inlineStr">
        <is>
          <t>#define LIC_TOKEN "PSPV12-[HASH-UNICO-POR-DONGLE]" — constante en flash del microcontrolador</t>
        </is>
      </c>
      <c r="D4" s="3" t="inlineStr">
        <is>
          <t>Cloud Function verifica: if (payload.lic_token != VALID_TOKENS[]) → return 403 Forbidden</t>
        </is>
      </c>
      <c r="E4" s="30" t="inlineStr">
        <is>
          <t>El LIC_TOKEN NO debe estar en código fuente público. Usar provisioning seguro al fabricar cada dongle</t>
        </is>
      </c>
    </row>
    <row r="5" ht="44" customHeight="1">
      <c r="A5" s="10" t="inlineStr">
        <is>
          <t>Almacenamiento del Token</t>
        </is>
      </c>
      <c r="B5" s="4" t="inlineStr">
        <is>
          <t>Flash protegida del microcontrolador (ej. ESP32 NVS o secure element)</t>
        </is>
      </c>
      <c r="C5" s="4" t="inlineStr">
        <is>
          <t>esp_efuse_write_key() en ESP32 para proteger el token en eFuse — no accesible por debug JTAG sin activar protección</t>
        </is>
      </c>
      <c r="D5" s="4" t="inlineStr">
        <is>
          <t>—</t>
        </is>
      </c>
      <c r="E5" s="31" t="inlineStr">
        <is>
          <t>eFuse es OTP (One Time Programmable) — una vez escrito, no se puede leer externamente. Ideal para LIC_TOKEN único por unidad</t>
        </is>
      </c>
    </row>
    <row r="6" ht="44" customHeight="1">
      <c r="A6" s="9" t="inlineStr">
        <is>
          <t>Revocación de Token</t>
        </is>
      </c>
      <c r="B6" s="3" t="inlineStr">
        <is>
          <t>Base de datos de tokens revocados en Firestore</t>
        </is>
      </c>
      <c r="C6" s="3" t="inlineStr">
        <is>
          <t>—</t>
        </is>
      </c>
      <c r="D6" s="3" t="inlineStr">
        <is>
          <t>Cloud Function consulta: db.collection('revoked_tokens').doc(lic_token).get() → si existe → rechazar</t>
        </is>
      </c>
      <c r="E6" s="30" t="inlineStr">
        <is>
          <t>Permite inhabilitar dongles perdidos o pirateados remotamente sin actualizar firmware</t>
        </is>
      </c>
    </row>
    <row r="7" ht="44" customHeight="1">
      <c r="A7" s="10" t="inlineStr">
        <is>
          <t>Rate Limiting</t>
        </is>
      </c>
      <c r="B7" s="4" t="inlineStr">
        <is>
          <t>Máximo 50 peticiones/hora por LIC_TOKEN</t>
        </is>
      </c>
      <c r="C7" s="4" t="inlineStr">
        <is>
          <t>—</t>
        </is>
      </c>
      <c r="D7" s="4" t="inlineStr">
        <is>
          <t>Cloud Function usa Firebase Rate Limiting o middleware contador en Firestore</t>
        </is>
      </c>
      <c r="E7" s="31" t="inlineStr">
        <is>
          <t>Evita ataques de fuerza bruta al endpoint de Seed/Key con dongles robados</t>
        </is>
      </c>
    </row>
    <row r="8" ht="44" customHeight="1">
      <c r="A8" s="9" t="inlineStr">
        <is>
          <t>HTTPS Obligatorio</t>
        </is>
      </c>
      <c r="B8" s="3" t="inlineStr">
        <is>
          <t>TLS 1.2 mínimo en todas las peticiones</t>
        </is>
      </c>
      <c r="C8" s="3" t="inlineStr">
        <is>
          <t>Configurar WiFiClientSecure en ESP32 con certificado raíz de Google Cloud</t>
        </is>
      </c>
      <c r="D8" s="3" t="inlineStr">
        <is>
          <t>Cloud Functions solo aceptan HTTPS — Google lo implementa automáticamente</t>
        </is>
      </c>
      <c r="E8" s="30" t="inlineStr">
        <is>
          <t>Sin TLS: el LIC_TOKEN y las seeds viajan en texto plano — interceptable en red WiFi del taller</t>
        </is>
      </c>
    </row>
    <row r="9" ht="44" customHeight="1">
      <c r="A9" s="11" t="n"/>
      <c r="B9" s="11" t="n"/>
      <c r="C9" s="11" t="n"/>
      <c r="D9" s="11" t="n"/>
      <c r="E9" s="11" t="n"/>
    </row>
    <row r="10" ht="44" customHeight="1"/>
    <row r="11" ht="44" customHeight="1">
      <c r="A11" s="1" t="inlineStr">
        <is>
          <t>ENDPOINT 1: calculateSeedKey — Desbloqueo ECU para Flash/IMMO (Service 27)</t>
        </is>
      </c>
    </row>
    <row r="12" ht="44" customHeight="1">
      <c r="A12" s="44" t="inlineStr">
        <is>
          <t>Campo</t>
        </is>
      </c>
      <c r="B12" s="44" t="inlineStr">
        <is>
          <t>Tipo</t>
        </is>
      </c>
      <c r="C12" s="44" t="inlineStr">
        <is>
          <t>Dirección</t>
        </is>
      </c>
      <c r="D12" s="44" t="inlineStr">
        <is>
          <t>Descripción</t>
        </is>
      </c>
      <c r="E12" s="44" t="inlineStr">
        <is>
          <t>Ejemplo / Valor</t>
        </is>
      </c>
      <c r="F12" s="44" t="inlineStr">
        <is>
          <t>Regla Crítica</t>
        </is>
      </c>
    </row>
    <row r="13" ht="44" customHeight="1">
      <c r="A13" s="9" t="inlineStr">
        <is>
          <t>URL del Endpoint</t>
        </is>
      </c>
      <c r="B13" s="3" t="inlineStr">
        <is>
          <t>string — URL HTTPS</t>
        </is>
      </c>
      <c r="C13" s="3" t="inlineStr">
        <is>
          <t>Dongle → Cloud</t>
        </is>
      </c>
      <c r="D13" s="3" t="inlineStr">
        <is>
          <t>https://[REGION].[PROJECT-ID].cloudfunctions.net/calculateSeedKey</t>
        </is>
      </c>
      <c r="E13" s="3" t="inlineStr">
        <is>
          <t>https://us-central1.propart-v12.cloudfunctions.net/calculateSeedKey</t>
        </is>
      </c>
      <c r="F13" s="3" t="inlineStr">
        <is>
          <t>Reemplazar [REGION] y [PROJECT-ID] con los valores del proyecto Firebase del Ing. de ProPart</t>
        </is>
      </c>
    </row>
    <row r="14" ht="44" customHeight="1">
      <c r="A14" s="10" t="inlineStr">
        <is>
          <t>Método HTTP</t>
        </is>
      </c>
      <c r="B14" s="4" t="inlineStr">
        <is>
          <t>string — ENUM</t>
        </is>
      </c>
      <c r="C14" s="4" t="inlineStr">
        <is>
          <t>Dongle → Cloud</t>
        </is>
      </c>
      <c r="D14" s="4" t="inlineStr">
        <is>
          <t>Método de la petición HTTP</t>
        </is>
      </c>
      <c r="E14" s="4" t="inlineStr">
        <is>
          <t>POST</t>
        </is>
      </c>
      <c r="F14" s="31" t="inlineStr">
        <is>
          <t>NUNCA usar GET para datos sensibles — los parámetros GET aparecen en logs del servidor y en historial del navegador</t>
        </is>
      </c>
    </row>
    <row r="15" ht="44" customHeight="1">
      <c r="A15" s="9" t="inlineStr">
        <is>
          <t>seed_hex (payload)</t>
        </is>
      </c>
      <c r="B15" s="3" t="inlineStr">
        <is>
          <t>string — HEX</t>
        </is>
      </c>
      <c r="C15" s="3" t="inlineStr">
        <is>
          <t>Dongle → Cloud</t>
        </is>
      </c>
      <c r="D15" s="3" t="inlineStr">
        <is>
          <t>Semilla aleatoria generada por la ECU durante el Service 27. El dongle la captura del bus OBD2 y la envía</t>
        </is>
      </c>
      <c r="E15" s="3" t="inlineStr">
        <is>
          <t>"A1B2C3D4" (4 bytes) / "A1B2C3D4E5F60718" (8 bytes en ECUs avanzadas)</t>
        </is>
      </c>
      <c r="F15" s="30" t="inlineStr">
        <is>
          <t>La semilla es EFÍMERA — varía con cada sesión de diagnóstico. NUNCA cachear en el dongle. Capturar y enviar de inmediato</t>
        </is>
      </c>
    </row>
    <row r="16" ht="44" customHeight="1">
      <c r="A16" s="10" t="inlineStr">
        <is>
          <t>vin (payload)</t>
        </is>
      </c>
      <c r="B16" s="4" t="inlineStr">
        <is>
          <t>string — VIN SAE J1979</t>
        </is>
      </c>
      <c r="C16" s="4" t="inlineStr">
        <is>
          <t>Dongle → Cloud</t>
        </is>
      </c>
      <c r="D16" s="4" t="inlineStr">
        <is>
          <t>VIN del vehículo — para registro y para seleccionar el algoritmo correcto si hay varios por marca/año</t>
        </is>
      </c>
      <c r="E16" s="4" t="inlineStr">
        <is>
          <t>"3N1AB7AP5JL0XXXX" (17 caracteres)</t>
        </is>
      </c>
      <c r="F16" s="4" t="inlineStr">
        <is>
          <t>El algoritmo Seed→Key puede variar por VIN (año/modelo). El VIN determina qué tabla de cálculo usar en la Cloud Function</t>
        </is>
      </c>
    </row>
    <row r="17" ht="44" customHeight="1">
      <c r="A17" s="9" t="inlineStr">
        <is>
          <t>lic_token (payload)</t>
        </is>
      </c>
      <c r="B17" s="3" t="inlineStr">
        <is>
          <t>string — Auth</t>
        </is>
      </c>
      <c r="C17" s="3" t="inlineStr">
        <is>
          <t>Dongle → Cloud</t>
        </is>
      </c>
      <c r="D17" s="3" t="inlineStr">
        <is>
          <t>Token de licencia único del dongle para autenticación</t>
        </is>
      </c>
      <c r="E17" s="3" t="inlineStr">
        <is>
          <t>"PSPV12-A3F7-9C21-B4E8"</t>
        </is>
      </c>
      <c r="F17" s="3" t="inlineStr">
        <is>
          <t>Este token se verifica antes de ejecutar el cálculo. Token inválido = HTTP 403 sin revelar información del algoritmo</t>
        </is>
      </c>
    </row>
    <row r="18" ht="44" customHeight="1">
      <c r="A18" s="10" t="inlineStr">
        <is>
          <t>key_hex (response)</t>
        </is>
      </c>
      <c r="B18" s="4" t="inlineStr">
        <is>
          <t>string — HEX</t>
        </is>
      </c>
      <c r="C18" s="4" t="inlineStr">
        <is>
          <t>Cloud → Dongle</t>
        </is>
      </c>
      <c r="D18" s="4" t="inlineStr">
        <is>
          <t>Key calculada que el dongle debe enviar a la ECU para completar el Service 27</t>
        </is>
      </c>
      <c r="E18" s="4" t="inlineStr">
        <is>
          <t>"E4D3C2B1"</t>
        </is>
      </c>
      <c r="F18" s="31" t="inlineStr">
        <is>
          <t>CRÍTICO: El algoritmo de cálculo Seed→Key reside ÚNICAMENTE en la Cloud Function. NUNCA en el firmware del dongle — permite actualizar el algoritmo sin reflashear hardware</t>
        </is>
      </c>
    </row>
    <row r="19" ht="44" customHeight="1">
      <c r="A19" s="9" t="inlineStr">
        <is>
          <t>status (response)</t>
        </is>
      </c>
      <c r="B19" s="3" t="inlineStr">
        <is>
          <t>string — ENUM</t>
        </is>
      </c>
      <c r="C19" s="3" t="inlineStr">
        <is>
          <t>Cloud → Dongle</t>
        </is>
      </c>
      <c r="D19" s="3" t="inlineStr">
        <is>
          <t>Estado de la respuesta</t>
        </is>
      </c>
      <c r="E19" s="3" t="inlineStr">
        <is>
          <t>"APPROVED" / "REJECTED" / "RATE_LIMITED" / "INVALID_TOKEN"</t>
        </is>
      </c>
      <c r="F19" s="3" t="inlineStr">
        <is>
          <t>El dongle debe manejar cada estado: REJECTED = mostrar error al técnico; RATE_LIMITED = esperar 60s; INVALID_TOKEN = contactar soporte</t>
        </is>
      </c>
    </row>
    <row r="20" ht="44" customHeight="1">
      <c r="A20" s="10" t="inlineStr">
        <is>
          <t>message (response)</t>
        </is>
      </c>
      <c r="B20" s="4" t="inlineStr">
        <is>
          <t>string</t>
        </is>
      </c>
      <c r="C20" s="4" t="inlineStr">
        <is>
          <t>Cloud → Dongle</t>
        </is>
      </c>
      <c r="D20" s="4" t="inlineStr">
        <is>
          <t>Mensaje descriptivo del resultado</t>
        </is>
      </c>
      <c r="E20" s="4" t="inlineStr">
        <is>
          <t>"Key calculada con éxito." / "Algoritmo no disponible para este VIN."</t>
        </is>
      </c>
      <c r="F20" s="4" t="inlineStr">
        <is>
          <t>Mostrar al técnico en la interfaz del dongle o app asociada</t>
        </is>
      </c>
    </row>
    <row r="21" ht="44" customHeight="1">
      <c r="A21" s="11" t="n"/>
      <c r="B21" s="11" t="n"/>
      <c r="C21" s="11" t="n"/>
      <c r="D21" s="11" t="n"/>
      <c r="E21" s="11" t="n"/>
      <c r="F21" s="11" t="n"/>
    </row>
    <row r="22" ht="44" customHeight="1"/>
    <row r="23" ht="44" customHeight="1">
      <c r="A23" s="1" t="inlineStr">
        <is>
          <t>ENDPOINT 2: logDTCReport — Registro de Historial VIN en Firestore (Diagnóstico Perpetuo)</t>
        </is>
      </c>
    </row>
    <row r="24" ht="44" customHeight="1">
      <c r="A24" s="44" t="inlineStr">
        <is>
          <t>Campo</t>
        </is>
      </c>
      <c r="B24" s="44" t="inlineStr">
        <is>
          <t>Tipo</t>
        </is>
      </c>
      <c r="C24" s="44" t="inlineStr">
        <is>
          <t>Dirección</t>
        </is>
      </c>
      <c r="D24" s="44" t="inlineStr">
        <is>
          <t>Descripción</t>
        </is>
      </c>
      <c r="E24" s="44" t="inlineStr">
        <is>
          <t>Ejemplo / Valor</t>
        </is>
      </c>
      <c r="F24" s="44" t="inlineStr">
        <is>
          <t>Uso en ProPart</t>
        </is>
      </c>
    </row>
    <row r="25" ht="44" customHeight="1">
      <c r="A25" s="9" t="inlineStr">
        <is>
          <t>URL del Endpoint</t>
        </is>
      </c>
      <c r="B25" s="3" t="inlineStr">
        <is>
          <t>string — URL HTTPS</t>
        </is>
      </c>
      <c r="C25" s="3" t="inlineStr">
        <is>
          <t>Dongle → Cloud</t>
        </is>
      </c>
      <c r="D25" s="3" t="inlineStr">
        <is>
          <t>https://[REGION].[PROJECT-ID].cloudfunctions.net/logDTCReport</t>
        </is>
      </c>
      <c r="E25" s="3" t="inlineStr">
        <is>
          <t>https://us-central1.propart-v12.cloudfunctions.net/logDTCReport</t>
        </is>
      </c>
      <c r="F25" s="40" t="inlineStr">
        <is>
          <t>Endpoint separado del Seed/Key — permite habilitar/deshabilitar el historial independientemente</t>
        </is>
      </c>
    </row>
    <row r="26" ht="44" customHeight="1">
      <c r="A26" s="10" t="inlineStr">
        <is>
          <t>vin (payload)</t>
        </is>
      </c>
      <c r="B26" s="4" t="inlineStr">
        <is>
          <t>string — VIN</t>
        </is>
      </c>
      <c r="C26" s="4" t="inlineStr">
        <is>
          <t>Dongle → Cloud</t>
        </is>
      </c>
      <c r="D26" s="4" t="inlineStr">
        <is>
          <t>VIN del vehículo escaneado — clave del historial en Firestore</t>
        </is>
      </c>
      <c r="E26" s="4" t="inlineStr">
        <is>
          <t>"3N1AB7AP5JL0XXXX"</t>
        </is>
      </c>
      <c r="F26" s="41" t="inlineStr">
        <is>
          <t>Firestore almacena en: VIN_History/{vin}/reports/{diagnostic_date} — el VIN es la clave de búsqueda principal</t>
        </is>
      </c>
    </row>
    <row r="27" ht="44" customHeight="1">
      <c r="A27" s="9" t="inlineStr">
        <is>
          <t>dtcs (payload)</t>
        </is>
      </c>
      <c r="B27" s="3" t="inlineStr">
        <is>
          <t>Array de strings</t>
        </is>
      </c>
      <c r="C27" s="3" t="inlineStr">
        <is>
          <t>Dongle → Cloud</t>
        </is>
      </c>
      <c r="D27" s="3" t="inlineStr">
        <is>
          <t>Lista de DTCs encontrados en el escaneo. Array vacío si el vehículo está limpio</t>
        </is>
      </c>
      <c r="E27" s="3" t="inlineStr">
        <is>
          <t>["P0420", "P0171", "C0040"]</t>
        </is>
      </c>
      <c r="F27" s="40" t="inlineStr">
        <is>
          <t>ProPart app puede mostrar historial: '3 fallas detectadas en esta unidad el 18-Oct-2025'. Útil para autos usados</t>
        </is>
      </c>
    </row>
    <row r="28" ht="44" customHeight="1">
      <c r="A28" s="10" t="inlineStr">
        <is>
          <t>diagnostic_date (payload)</t>
        </is>
      </c>
      <c r="B28" s="4" t="inlineStr">
        <is>
          <t>string — ISO 8601</t>
        </is>
      </c>
      <c r="C28" s="4" t="inlineStr">
        <is>
          <t>Dongle → Cloud</t>
        </is>
      </c>
      <c r="D28" s="4" t="inlineStr">
        <is>
          <t>Fecha y hora UTC del diagnóstico</t>
        </is>
      </c>
      <c r="E28" s="4" t="inlineStr">
        <is>
          <t>"2025-10-18T19:30:00Z"</t>
        </is>
      </c>
      <c r="F28" s="41" t="inlineStr">
        <is>
          <t>Timestamp para historial cronológico. En la app: mostrar fecha en horario local (UTC-6 para México)</t>
        </is>
      </c>
    </row>
    <row r="29" ht="44" customHeight="1">
      <c r="A29" s="9" t="inlineStr">
        <is>
          <t>mileage_km (payload)</t>
        </is>
      </c>
      <c r="B29" s="3" t="inlineStr">
        <is>
          <t>number — km</t>
        </is>
      </c>
      <c r="C29" s="3" t="inlineStr">
        <is>
          <t>Dongle → Cloud</t>
        </is>
      </c>
      <c r="D29" s="3" t="inlineStr">
        <is>
          <t>Kilometraje del vehículo en el momento del escaneo (leído del PIDs OBD2 o ingresado manualmente)</t>
        </is>
      </c>
      <c r="E29" s="3" t="inlineStr">
        <is>
          <t>150345</t>
        </is>
      </c>
      <c r="F29" s="40" t="inlineStr">
        <is>
          <t>Permite tracking de mantenimiento: 'Falla P0171 a 150,000 km — pendiente de reparación'</t>
        </is>
      </c>
    </row>
    <row r="30" ht="44" customHeight="1">
      <c r="A30" s="10" t="inlineStr">
        <is>
          <t>pids_snapshot (payload — Fase 2)</t>
        </is>
      </c>
      <c r="B30" s="4" t="inlineStr">
        <is>
          <t>Object JSON</t>
        </is>
      </c>
      <c r="C30" s="4" t="inlineStr">
        <is>
          <t>Dongle → Cloud</t>
        </is>
      </c>
      <c r="D30" s="4" t="inlineStr">
        <is>
          <t>Snapshot de PIDs clave al momento del diagnóstico: RPM, ECT, MAF, TPS, voltaje batería</t>
        </is>
      </c>
      <c r="E30" s="4" t="inlineStr">
        <is>
          <t>{ "rpm":850, "ect_c":88, "maf_gs":2.4, "bat_v":13.8 }</t>
        </is>
      </c>
      <c r="F30" s="41" t="inlineStr">
        <is>
          <t>Datos de salud del motor en el momento de la falla. Útil para diagnóstico remoto y análisis predictivo</t>
        </is>
      </c>
    </row>
    <row r="31" ht="44" customHeight="1">
      <c r="A31" s="9" t="inlineStr">
        <is>
          <t>user_id (payload)</t>
        </is>
      </c>
      <c r="B31" s="3" t="inlineStr">
        <is>
          <t>string — ID técnico</t>
        </is>
      </c>
      <c r="C31" s="3" t="inlineStr">
        <is>
          <t>Dongle → Cloud</t>
        </is>
      </c>
      <c r="D31" s="3" t="inlineStr">
        <is>
          <t>Identificador del técnico que realizó el diagnóstico</t>
        </is>
      </c>
      <c r="E31" s="3" t="inlineStr">
        <is>
          <t>"PULSAR-TECH-007" / "PROPART-MOR-FER"</t>
        </is>
      </c>
      <c r="F31" s="40" t="inlineStr">
        <is>
          <t>Trazabilidad: saber qué técnico hizo cada diagnóstico. Útil para calidad de servicio y capacitación</t>
        </is>
      </c>
    </row>
    <row r="32" ht="44" customHeight="1">
      <c r="A32" s="10" t="inlineStr">
        <is>
          <t>lic_token (payload)</t>
        </is>
      </c>
      <c r="B32" s="4" t="inlineStr">
        <is>
          <t>string — Auth</t>
        </is>
      </c>
      <c r="C32" s="4" t="inlineStr">
        <is>
          <t>Dongle → Cloud</t>
        </is>
      </c>
      <c r="D32" s="4" t="inlineStr">
        <is>
          <t>Token de licencia del dongle — mismo que en Endpoint 1</t>
        </is>
      </c>
      <c r="E32" s="4" t="inlineStr">
        <is>
          <t>"PSPV12-A3F7-9C21-B4E8"</t>
        </is>
      </c>
      <c r="F32" s="41" t="inlineStr">
        <is>
          <t>Cloud Function verifica el token antes de guardar. Dongles piratas no pueden contaminar la base de datos</t>
        </is>
      </c>
    </row>
    <row r="33" ht="44" customHeight="1">
      <c r="A33" s="9" t="inlineStr">
        <is>
          <t>Respuesta: status</t>
        </is>
      </c>
      <c r="B33" s="3" t="inlineStr">
        <is>
          <t>string — ENUM</t>
        </is>
      </c>
      <c r="C33" s="3" t="inlineStr">
        <is>
          <t>Cloud → Dongle</t>
        </is>
      </c>
      <c r="D33" s="3" t="inlineStr">
        <is>
          <t>Confirmación del registro</t>
        </is>
      </c>
      <c r="E33" s="3" t="inlineStr">
        <is>
          <t>"SAVED" / "ERROR" / "DUPLICATE"</t>
        </is>
      </c>
      <c r="F33" s="40" t="inlineStr">
        <is>
          <t>El dongle debe confirmar al técnico: 'Diagnóstico registrado en la nube'. Si ERROR: guardar localmente y reintentar</t>
        </is>
      </c>
    </row>
    <row r="34" ht="44" customHeight="1">
      <c r="A34" s="10" t="inlineStr">
        <is>
          <t>Respuesta: history_url</t>
        </is>
      </c>
      <c r="B34" s="4" t="inlineStr">
        <is>
          <t>string — URL (Fase 2)</t>
        </is>
      </c>
      <c r="C34" s="4" t="inlineStr">
        <is>
          <t>Cloud → Dongle</t>
        </is>
      </c>
      <c r="D34" s="4" t="inlineStr">
        <is>
          <t>URL del reporte completo para compartir con el cliente</t>
        </is>
      </c>
      <c r="E34" s="4" t="inlineStr">
        <is>
          <t>"https://propart.app/vin/3N1AB7AP5JL0XXXX/report/20251018"</t>
        </is>
      </c>
      <c r="F34" s="41" t="inlineStr">
        <is>
          <t>Compartir con cliente como PDF digital del diagnóstico — servicio de valor agregado ProPart</t>
        </is>
      </c>
    </row>
    <row r="35" ht="44" customHeight="1">
      <c r="A35" s="11" t="n"/>
      <c r="B35" s="11" t="n"/>
      <c r="C35" s="11" t="n"/>
      <c r="D35" s="11" t="n"/>
      <c r="E35" s="11" t="n"/>
      <c r="F35" s="11" t="n"/>
    </row>
    <row r="36" ht="44" customHeight="1"/>
    <row r="37" ht="44" customHeight="1">
      <c r="A37" s="1" t="inlineStr">
        <is>
          <t>PSEUDOCÓDIGO FIRMWARE C++ — Dongle PULSAR (Flujo Principal de Diagnóstico)</t>
        </is>
      </c>
    </row>
    <row r="38" ht="44" customHeight="1">
      <c r="A38" s="11" t="n"/>
      <c r="B38" s="11" t="n"/>
      <c r="C38" s="11" t="n"/>
      <c r="D38" s="11" t="n"/>
      <c r="E38" s="11" t="n"/>
      <c r="F38" s="11" t="n"/>
    </row>
    <row r="39" ht="44" customHeight="1">
      <c r="A39" s="59" t="inlineStr">
        <is>
          <t>//</t>
        </is>
      </c>
      <c r="B39" s="59" t="inlineStr">
        <is>
          <t>— CONSTANTES (grabar en eFuse en producción) —</t>
        </is>
      </c>
      <c r="C39" s="59" t="inlineStr"/>
      <c r="D39" s="59" t="inlineStr"/>
      <c r="E39" s="59" t="inlineStr"/>
      <c r="F39" s="60" t="inlineStr"/>
    </row>
    <row r="40" ht="44" customHeight="1">
      <c r="A40" s="61" t="inlineStr">
        <is>
          <t>#define</t>
        </is>
      </c>
      <c r="B40" s="62" t="inlineStr">
        <is>
          <t>LIC_TOKEN</t>
        </is>
      </c>
      <c r="C40" s="62" t="inlineStr">
        <is>
          <t>"PSPV12-[HASH-UNICO-DONGLE]"</t>
        </is>
      </c>
      <c r="D40" s="4" t="inlineStr"/>
      <c r="E40" s="4" t="inlineStr"/>
      <c r="F40" s="63" t="inlineStr">
        <is>
          <t>Token único por unidad hardware</t>
        </is>
      </c>
    </row>
    <row r="41" ht="44" customHeight="1">
      <c r="A41" s="64" t="inlineStr">
        <is>
          <t>#define</t>
        </is>
      </c>
      <c r="B41" s="65" t="inlineStr">
        <is>
          <t>SEED_KEY_URL</t>
        </is>
      </c>
      <c r="C41" s="65" t="inlineStr">
        <is>
          <t>"https://[REGION].[PROJECT].cloudfunctions.net/calculateSeedKey"</t>
        </is>
      </c>
      <c r="D41" s="3" t="inlineStr"/>
      <c r="E41" s="3" t="inlineStr"/>
      <c r="F41" s="60" t="inlineStr">
        <is>
          <t>Endpoint 1 — Seed/Key</t>
        </is>
      </c>
    </row>
    <row r="42" ht="44" customHeight="1">
      <c r="A42" s="61" t="inlineStr">
        <is>
          <t>#define</t>
        </is>
      </c>
      <c r="B42" s="62" t="inlineStr">
        <is>
          <t>LOG_DTC_URL</t>
        </is>
      </c>
      <c r="C42" s="62" t="inlineStr">
        <is>
          <t>"https://[REGION].[PROJECT].cloudfunctions.net/logDTCReport"</t>
        </is>
      </c>
      <c r="D42" s="4" t="inlineStr"/>
      <c r="E42" s="4" t="inlineStr"/>
      <c r="F42" s="63" t="inlineStr">
        <is>
          <t>Endpoint 2 — Historial VIN</t>
        </is>
      </c>
    </row>
    <row r="43" ht="44" customHeight="1">
      <c r="A43" s="59" t="inlineStr">
        <is>
          <t>//</t>
        </is>
      </c>
      <c r="B43" s="59" t="inlineStr">
        <is>
          <t>— FUNCIÓN PRINCIPAL DE DIAGNÓSTICO —</t>
        </is>
      </c>
      <c r="C43" s="59" t="inlineStr"/>
      <c r="D43" s="59" t="inlineStr"/>
      <c r="E43" s="59" t="inlineStr"/>
      <c r="F43" s="60" t="inlineStr"/>
    </row>
    <row r="44" ht="44" customHeight="1">
      <c r="A44" s="61" t="inlineStr">
        <is>
          <t>void</t>
        </is>
      </c>
      <c r="B44" s="62" t="inlineStr">
        <is>
          <t>diagnosisFlow(String vin, String[] dtcs)</t>
        </is>
      </c>
      <c r="C44" s="62" t="inlineStr">
        <is>
          <t>{ // Ejecutar después de cada escaneo OBD2</t>
        </is>
      </c>
      <c r="D44" s="4" t="inlineStr"/>
      <c r="E44" s="4" t="inlineStr"/>
      <c r="F44" s="63" t="inlineStr">
        <is>
          <t>Llamar después de leer DTCs del vehículo</t>
        </is>
      </c>
    </row>
    <row r="45" ht="44" customHeight="1">
      <c r="A45" s="3" t="inlineStr">
        <is>
          <t xml:space="preserve">  //</t>
        </is>
      </c>
      <c r="B45" s="3" t="inlineStr">
        <is>
          <t>Paso 1: Enviar reporte DTC a Firestore</t>
        </is>
      </c>
      <c r="C45" s="3" t="inlineStr"/>
      <c r="D45" s="3" t="inlineStr"/>
      <c r="E45" s="3" t="inlineStr"/>
      <c r="F45" s="60" t="inlineStr"/>
    </row>
    <row r="46" ht="44" customHeight="1">
      <c r="A46" s="4" t="inlineStr">
        <is>
          <t xml:space="preserve">  String</t>
        </is>
      </c>
      <c r="B46" s="4" t="inlineStr">
        <is>
          <t>payload_log</t>
        </is>
      </c>
      <c r="C46" s="4">
        <f> buildJSON({vin, dtcs, now(), mileage, USER_ID, LIC_TOKEN})</f>
        <v/>
      </c>
      <c r="D46" s="4" t="inlineStr"/>
      <c r="E46" s="4" t="inlineStr"/>
      <c r="F46" s="63" t="inlineStr">
        <is>
          <t>Construir JSON con todos los campos del Endpoint 2</t>
        </is>
      </c>
    </row>
    <row r="47" ht="44" customHeight="1">
      <c r="A47" s="3" t="inlineStr">
        <is>
          <t xml:space="preserve">  HTTPClient::POST(LOG_DTC_URL,</t>
        </is>
      </c>
      <c r="B47" s="3" t="inlineStr">
        <is>
          <t>payload_log)</t>
        </is>
      </c>
      <c r="C47" s="3" t="inlineStr">
        <is>
          <t>// Guardar historial</t>
        </is>
      </c>
      <c r="D47" s="3" t="inlineStr"/>
      <c r="E47" s="3" t="inlineStr"/>
      <c r="F47" s="60" t="inlineStr">
        <is>
          <t>Enviar a Cloud — no bloquear hilo si timeout &gt; 3s</t>
        </is>
      </c>
    </row>
    <row r="48" ht="44" customHeight="1">
      <c r="A48" s="4" t="inlineStr">
        <is>
          <t xml:space="preserve">  //</t>
        </is>
      </c>
      <c r="B48" s="4" t="inlineStr">
        <is>
          <t>Paso 2: Si se requiere Service 27 (Flash/IMMO)</t>
        </is>
      </c>
      <c r="C48" s="4" t="inlineStr"/>
      <c r="D48" s="4" t="inlineStr"/>
      <c r="E48" s="4" t="inlineStr"/>
      <c r="F48" s="63" t="inlineStr"/>
    </row>
    <row r="49" ht="44" customHeight="1">
      <c r="A49" s="3" t="inlineStr">
        <is>
          <t xml:space="preserve">  String</t>
        </is>
      </c>
      <c r="B49" s="3" t="inlineStr">
        <is>
          <t>seed_hex</t>
        </is>
      </c>
      <c r="C49" s="3">
        <f> obd2.requestSeed27()</f>
        <v/>
      </c>
      <c r="D49" s="3" t="inlineStr">
        <is>
          <t>// Obtener seed de la ECU</t>
        </is>
      </c>
      <c r="E49" s="3" t="inlineStr"/>
      <c r="F49" s="60" t="inlineStr">
        <is>
          <t>Capturar la seed efímera de la ECU en ese momento</t>
        </is>
      </c>
    </row>
    <row r="50" ht="44" customHeight="1">
      <c r="A50" s="4" t="inlineStr">
        <is>
          <t xml:space="preserve">  String</t>
        </is>
      </c>
      <c r="B50" s="4" t="inlineStr">
        <is>
          <t>payload_sk</t>
        </is>
      </c>
      <c r="C50" s="4">
        <f> buildJSON({seed_hex, vin, LIC_TOKEN})</f>
        <v/>
      </c>
      <c r="D50" s="4" t="inlineStr"/>
      <c r="E50" s="4" t="inlineStr"/>
      <c r="F50" s="63" t="inlineStr">
        <is>
          <t>Construir payload para Cloud Function</t>
        </is>
      </c>
    </row>
    <row r="51" ht="44" customHeight="1">
      <c r="A51" s="3" t="inlineStr">
        <is>
          <t xml:space="preserve">  String</t>
        </is>
      </c>
      <c r="B51" s="3" t="inlineStr">
        <is>
          <t>response</t>
        </is>
      </c>
      <c r="C51" s="3">
        <f> HTTPClient::POST(SEED_KEY_URL, payload_sk)</f>
        <v/>
      </c>
      <c r="D51" s="3" t="inlineStr"/>
      <c r="E51" s="3" t="inlineStr"/>
      <c r="F51" s="60" t="inlineStr">
        <is>
          <t>Enviar seed a la nube — esperar key calculada</t>
        </is>
      </c>
    </row>
    <row r="52" ht="44" customHeight="1">
      <c r="A52" s="4" t="inlineStr">
        <is>
          <t xml:space="preserve">  String</t>
        </is>
      </c>
      <c r="B52" s="4" t="inlineStr">
        <is>
          <t>key_hex</t>
        </is>
      </c>
      <c r="C52" s="4">
        <f> parseJSON(response, "key_hex")</f>
        <v/>
      </c>
      <c r="D52" s="4" t="inlineStr">
        <is>
          <t>// Extraer la Key</t>
        </is>
      </c>
      <c r="E52" s="4" t="inlineStr"/>
      <c r="F52" s="63" t="inlineStr">
        <is>
          <t>Parsear respuesta JSON para obtener la Key</t>
        </is>
      </c>
    </row>
    <row r="53" ht="44" customHeight="1">
      <c r="A53" s="3" t="inlineStr">
        <is>
          <t xml:space="preserve">  obd2.sendKey27(key_hex)</t>
        </is>
      </c>
      <c r="B53" s="3" t="inlineStr">
        <is>
          <t>// Enviar Key a la ECU para desbloquear</t>
        </is>
      </c>
      <c r="C53" s="3" t="inlineStr"/>
      <c r="D53" s="3" t="inlineStr"/>
      <c r="E53" s="3" t="inlineStr"/>
      <c r="F53" s="60" t="inlineStr">
        <is>
          <t>Completar el handshake Service 27 con la ECU</t>
        </is>
      </c>
    </row>
    <row r="54" ht="44" customHeight="1">
      <c r="A54" s="66" t="inlineStr">
        <is>
          <t>}</t>
        </is>
      </c>
      <c r="B54" s="66" t="inlineStr"/>
      <c r="C54" s="66" t="inlineStr"/>
      <c r="D54" s="66" t="inlineStr"/>
      <c r="E54" s="66" t="inlineStr"/>
      <c r="F54" s="63" t="inlineStr"/>
    </row>
    <row r="55" ht="44" customHeight="1">
      <c r="A55" s="59" t="inlineStr">
        <is>
          <t>//</t>
        </is>
      </c>
      <c r="B55" s="59" t="inlineStr">
        <is>
          <t>— NOTA CRÍTICA DE ARQUITECTURA —</t>
        </is>
      </c>
      <c r="C55" s="59" t="inlineStr"/>
      <c r="D55" s="59" t="inlineStr"/>
      <c r="E55" s="59" t="inlineStr"/>
      <c r="F55" s="60" t="inlineStr"/>
    </row>
    <row r="56" ht="44" customHeight="1">
      <c r="A56" s="66" t="inlineStr">
        <is>
          <t>//</t>
        </is>
      </c>
      <c r="B56" s="66" t="inlineStr">
        <is>
          <t>El algoritmo Seed→Key NUNCA reside en el firmware del dongle.</t>
        </is>
      </c>
      <c r="C56" s="66" t="inlineStr"/>
      <c r="D56" s="66" t="inlineStr"/>
      <c r="E56" s="66" t="inlineStr"/>
      <c r="F56" s="63" t="inlineStr">
        <is>
          <t>Protege el secreto en la nube — actualizable sin reflashear</t>
        </is>
      </c>
    </row>
    <row r="57" ht="44" customHeight="1">
      <c r="A57" s="59" t="inlineStr">
        <is>
          <t>//</t>
        </is>
      </c>
      <c r="B57" s="59" t="inlineStr">
        <is>
          <t>Si el WiFi no está disponible: NO realizar operaciones Service 27.</t>
        </is>
      </c>
      <c r="C57" s="59" t="inlineStr"/>
      <c r="D57" s="59" t="inlineStr"/>
      <c r="E57" s="59" t="inlineStr"/>
      <c r="F57" s="60" t="inlineStr">
        <is>
          <t>Sin conexión = sin cálculo de key = sin riesgo de uso offline pirata</t>
        </is>
      </c>
    </row>
    <row r="58" ht="44" customHeight="1">
      <c r="A58" s="11" t="n"/>
      <c r="B58" s="11" t="n"/>
      <c r="C58" s="11" t="n"/>
      <c r="D58" s="11" t="n"/>
      <c r="E58" s="11" t="n"/>
      <c r="F58" s="11" t="n"/>
    </row>
  </sheetData>
  <mergeCells count="5">
    <mergeCell ref="A2:H2"/>
    <mergeCell ref="A11:H11"/>
    <mergeCell ref="A37:H37"/>
    <mergeCell ref="A1:H1"/>
    <mergeCell ref="A23:H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2026-03-09T18:51:58Z</dcterms:created>
  <dcterms:modified xmlns:dcterms="http://purl.org/dc/terms/" xmlns:xsi="http://www.w3.org/2001/XMLSchema-instance" xsi:type="dcterms:W3CDTF">2026-03-09T22:21:35Z</dcterms:modified>
</cp:coreProperties>
</file>